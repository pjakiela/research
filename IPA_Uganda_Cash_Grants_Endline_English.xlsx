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pjaki\Dropbox\TASO\Instruments\posted\"/>
    </mc:Choice>
  </mc:AlternateContent>
  <xr:revisionPtr revIDLastSave="0" documentId="13_ncr:1_{DECFE942-243F-411B-86E2-01EE73B69717}" xr6:coauthVersionLast="47" xr6:coauthVersionMax="47" xr10:uidLastSave="{00000000-0000-0000-0000-000000000000}"/>
  <bookViews>
    <workbookView xWindow="-10540" yWindow="-20040" windowWidth="27000" windowHeight="18460" xr2:uid="{00000000-000D-0000-FFFF-FFFF00000000}"/>
  </bookViews>
  <sheets>
    <sheet name="Outline" sheetId="1" r:id="rId1"/>
    <sheet name="Intro " sheetId="2" r:id="rId2"/>
    <sheet name="Basic Info " sheetId="3" r:id="rId3"/>
    <sheet name="HH Resources, ASSETS " sheetId="4" r:id="rId4"/>
    <sheet name="Child roster, Edu " sheetId="14" r:id="rId5"/>
    <sheet name="Food (Exp)Diveristy " sheetId="7" r:id="rId6"/>
    <sheet name="Non-Food Exp" sheetId="6" r:id="rId7"/>
    <sheet name="Income" sheetId="9" r:id="rId8"/>
    <sheet name="Time use income" sheetId="10" r:id="rId9"/>
    <sheet name="Savings" sheetId="11" r:id="rId10"/>
    <sheet name="-Transfers" sheetId="15" r:id="rId11"/>
    <sheet name="-Borrowing " sheetId="13" r:id="rId12"/>
    <sheet name="-Lending " sheetId="16" r:id="rId13"/>
    <sheet name="Self-esteem, rosenburg" sheetId="20" r:id="rId14"/>
    <sheet name="Optimism, Catril " sheetId="21" r:id="rId15"/>
    <sheet name="Sexual Activity" sheetId="18" r:id="rId16"/>
    <sheet name="Food Security " sheetId="17" r:id="rId17"/>
    <sheet name="Locus of control, Rotter " sheetId="22" r:id="rId18"/>
    <sheet name="Wrap- up"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1" l="1"/>
  <c r="C14" i="11" s="1"/>
  <c r="E17" i="11"/>
  <c r="E18" i="11" s="1"/>
  <c r="E19" i="11" s="1"/>
  <c r="E20" i="11" s="1"/>
  <c r="C7" i="4"/>
  <c r="C17" i="4"/>
  <c r="C26" i="4"/>
  <c r="C37" i="4" s="1"/>
  <c r="C45" i="4" s="1"/>
  <c r="C56" i="4" s="1"/>
  <c r="C64" i="4" s="1"/>
  <c r="C66" i="4" s="1"/>
  <c r="C77" i="4" s="1"/>
  <c r="C80" i="4" s="1"/>
  <c r="E74" i="2"/>
  <c r="E75" i="2"/>
  <c r="E76" i="2" s="1"/>
  <c r="E69" i="2"/>
  <c r="E70" i="2" s="1"/>
  <c r="E71" i="2" s="1"/>
  <c r="E72" i="2" s="1"/>
  <c r="E61" i="2"/>
  <c r="E62" i="2" s="1"/>
  <c r="E63" i="2" s="1"/>
  <c r="E59" i="2"/>
  <c r="E46" i="2"/>
  <c r="E35" i="2"/>
  <c r="C31" i="2"/>
  <c r="C32" i="2" s="1"/>
  <c r="C33" i="2" s="1"/>
  <c r="C34" i="2" s="1"/>
  <c r="C39" i="2" s="1"/>
  <c r="C40" i="2" s="1"/>
  <c r="C41" i="2" s="1"/>
  <c r="C42" i="2" s="1"/>
  <c r="C43" i="2" s="1"/>
  <c r="C44" i="2" s="1"/>
  <c r="C45" i="2" s="1"/>
  <c r="C47" i="2" s="1"/>
  <c r="C48" i="2" s="1"/>
  <c r="C49" i="2" s="1"/>
  <c r="E15" i="2"/>
  <c r="E16" i="2"/>
  <c r="E17" i="2"/>
  <c r="E18" i="2" s="1"/>
  <c r="E19" i="2" s="1"/>
  <c r="E20" i="2" s="1"/>
  <c r="E21" i="2" s="1"/>
  <c r="E22" i="2" s="1"/>
  <c r="E23" i="2" s="1"/>
  <c r="E24" i="2" s="1"/>
  <c r="C14" i="2"/>
  <c r="C26" i="2" s="1"/>
  <c r="C27" i="2" s="1"/>
  <c r="C28" i="2" s="1"/>
  <c r="C29" i="2" s="1"/>
  <c r="E12" i="2"/>
  <c r="E13" i="2"/>
  <c r="E10" i="2"/>
  <c r="E20" i="19"/>
  <c r="E21" i="19"/>
  <c r="E22" i="19"/>
  <c r="E23" i="19" s="1"/>
  <c r="E16" i="19"/>
  <c r="E17" i="19" s="1"/>
  <c r="E18" i="19" s="1"/>
  <c r="E12" i="19"/>
  <c r="E13" i="19"/>
  <c r="E14" i="19"/>
  <c r="E9" i="19"/>
  <c r="E10" i="19"/>
  <c r="C8" i="19"/>
  <c r="C11" i="19"/>
  <c r="C15" i="19" s="1"/>
  <c r="C19" i="19" s="1"/>
  <c r="C24" i="19" s="1"/>
  <c r="C30" i="19" s="1"/>
  <c r="C31" i="19" s="1"/>
  <c r="C6" i="19"/>
  <c r="E18" i="18"/>
  <c r="E19" i="18" s="1"/>
  <c r="E20" i="18" s="1"/>
  <c r="E21" i="18" s="1"/>
  <c r="H12" i="18"/>
  <c r="E28" i="17"/>
  <c r="E29" i="17"/>
  <c r="E19" i="17"/>
  <c r="E20" i="17" s="1"/>
  <c r="H17" i="17"/>
  <c r="H16" i="17"/>
  <c r="H15" i="17"/>
  <c r="E10" i="17"/>
  <c r="E11" i="17" s="1"/>
  <c r="H8" i="17"/>
  <c r="H7" i="17"/>
  <c r="H6" i="17"/>
  <c r="C10" i="16"/>
  <c r="C30" i="16" s="1"/>
  <c r="C31" i="16" s="1"/>
  <c r="C35" i="16" s="1"/>
  <c r="E57" i="13"/>
  <c r="E58" i="13" s="1"/>
  <c r="E59" i="13" s="1"/>
  <c r="E60" i="13" s="1"/>
  <c r="E61" i="13" s="1"/>
  <c r="E62" i="13" s="1"/>
  <c r="E32" i="13"/>
  <c r="E33" i="13"/>
  <c r="E34" i="13" s="1"/>
  <c r="E35" i="13" s="1"/>
  <c r="E36" i="13" s="1"/>
  <c r="E37" i="13" s="1"/>
  <c r="E38" i="13" s="1"/>
  <c r="E39" i="13" s="1"/>
  <c r="E40" i="13" s="1"/>
  <c r="E41" i="13" s="1"/>
  <c r="E42" i="13" s="1"/>
  <c r="E43" i="13" s="1"/>
  <c r="E44" i="13" s="1"/>
  <c r="E45" i="13" s="1"/>
  <c r="E46" i="13" s="1"/>
  <c r="E47" i="13" s="1"/>
  <c r="E48" i="13" s="1"/>
  <c r="E49" i="13" s="1"/>
  <c r="C30" i="13"/>
  <c r="C31" i="13" s="1"/>
  <c r="C51" i="13" s="1"/>
  <c r="C52" i="13" s="1"/>
  <c r="C56" i="13" s="1"/>
  <c r="C69" i="13" s="1"/>
  <c r="C73" i="13" s="1"/>
  <c r="C74" i="13" s="1"/>
  <c r="C5" i="13"/>
  <c r="C6" i="13" s="1"/>
  <c r="C7" i="13" s="1"/>
  <c r="C8" i="13" s="1"/>
  <c r="C9" i="13" s="1"/>
  <c r="C10" i="13" s="1"/>
  <c r="C11" i="13" s="1"/>
  <c r="C16" i="13" s="1"/>
  <c r="C19" i="13" s="1"/>
  <c r="C21" i="13" s="1"/>
  <c r="C8" i="15"/>
  <c r="C12" i="15" s="1"/>
  <c r="C16" i="15" s="1"/>
  <c r="C20" i="15" s="1"/>
  <c r="C26" i="15" s="1"/>
  <c r="C30" i="15" s="1"/>
  <c r="C34" i="15" s="1"/>
  <c r="C38" i="15" s="1"/>
  <c r="C42" i="15" s="1"/>
  <c r="E29" i="11"/>
  <c r="E30" i="11"/>
  <c r="E31" i="11" s="1"/>
  <c r="E32" i="11" s="1"/>
  <c r="E33" i="11" s="1"/>
  <c r="E34" i="11" s="1"/>
  <c r="E35" i="11" s="1"/>
  <c r="E36" i="11" s="1"/>
  <c r="E37" i="11" s="1"/>
  <c r="E38" i="11" s="1"/>
  <c r="E39" i="11" s="1"/>
  <c r="E40" i="11" s="1"/>
  <c r="C28" i="11"/>
  <c r="C23" i="9"/>
  <c r="C8" i="9"/>
  <c r="C27" i="9"/>
  <c r="C11" i="7"/>
  <c r="C15" i="7"/>
  <c r="C19" i="7"/>
  <c r="C23" i="7"/>
  <c r="C27" i="7" s="1"/>
  <c r="C31" i="7" s="1"/>
  <c r="C35" i="7" s="1"/>
  <c r="C39" i="7" s="1"/>
  <c r="C43" i="7" s="1"/>
  <c r="C47" i="7" s="1"/>
  <c r="C51" i="7" s="1"/>
  <c r="E129" i="6"/>
  <c r="E130" i="6"/>
  <c r="E131" i="6"/>
  <c r="E132" i="6" s="1"/>
  <c r="E133" i="6" s="1"/>
  <c r="E134" i="6" s="1"/>
  <c r="E135" i="6" s="1"/>
  <c r="E136" i="6" s="1"/>
  <c r="E137" i="6" s="1"/>
  <c r="E138" i="6" s="1"/>
  <c r="E117" i="6"/>
  <c r="E118" i="6" s="1"/>
  <c r="E119" i="6" s="1"/>
  <c r="E120" i="6" s="1"/>
  <c r="E121" i="6" s="1"/>
  <c r="E122" i="6" s="1"/>
  <c r="E101" i="6"/>
  <c r="E102" i="6" s="1"/>
  <c r="E103" i="6" s="1"/>
  <c r="E104" i="6" s="1"/>
  <c r="E105" i="6" s="1"/>
  <c r="E106" i="6" s="1"/>
  <c r="C100" i="6"/>
  <c r="C112" i="6"/>
  <c r="C116" i="6"/>
  <c r="C128" i="6" s="1"/>
  <c r="C143" i="6" s="1"/>
  <c r="C147" i="6" s="1"/>
  <c r="C151" i="6" s="1"/>
  <c r="C72" i="6"/>
  <c r="C76" i="6"/>
  <c r="C80" i="6" s="1"/>
  <c r="C84" i="6" s="1"/>
  <c r="C88" i="6" s="1"/>
  <c r="C92" i="6" s="1"/>
  <c r="C8" i="6"/>
  <c r="C12" i="6"/>
  <c r="C19" i="6"/>
  <c r="C23" i="6"/>
  <c r="C27" i="6" s="1"/>
  <c r="C31" i="6" s="1"/>
  <c r="C35" i="6" s="1"/>
  <c r="C39" i="6" s="1"/>
  <c r="C43" i="6" s="1"/>
  <c r="C48" i="6" s="1"/>
  <c r="C52" i="6" s="1"/>
  <c r="C56" i="6" s="1"/>
  <c r="C60" i="6" s="1"/>
  <c r="C64" i="6" s="1"/>
  <c r="C92" i="4"/>
  <c r="C93" i="4"/>
  <c r="C94" i="4"/>
  <c r="C95" i="4"/>
  <c r="C96" i="4" s="1"/>
  <c r="C97" i="4" s="1"/>
  <c r="C98" i="4" s="1"/>
  <c r="C99" i="4" s="1"/>
  <c r="C100" i="4" s="1"/>
  <c r="C101" i="4" s="1"/>
  <c r="C103" i="4" s="1"/>
  <c r="C107" i="4" s="1"/>
  <c r="C84" i="4"/>
  <c r="C85" i="4"/>
  <c r="C86" i="4" s="1"/>
  <c r="E67" i="4"/>
  <c r="E68" i="4"/>
  <c r="E69" i="4"/>
  <c r="E70" i="4" s="1"/>
  <c r="E71" i="4" s="1"/>
  <c r="E72" i="4" s="1"/>
  <c r="E73" i="4" s="1"/>
  <c r="E74" i="4" s="1"/>
  <c r="E75" i="4" s="1"/>
  <c r="E57" i="4"/>
  <c r="E58" i="4"/>
  <c r="E59" i="4"/>
  <c r="E60" i="4"/>
  <c r="E61" i="4" s="1"/>
  <c r="E62" i="4" s="1"/>
  <c r="E46" i="4"/>
  <c r="E47" i="4"/>
  <c r="E48" i="4" s="1"/>
  <c r="E49" i="4" s="1"/>
  <c r="E50" i="4" s="1"/>
  <c r="E51" i="4" s="1"/>
  <c r="E52" i="4" s="1"/>
  <c r="E53" i="4" s="1"/>
  <c r="E49" i="3"/>
  <c r="E50" i="3"/>
  <c r="E51" i="3"/>
  <c r="E52" i="3"/>
  <c r="E53" i="3" s="1"/>
  <c r="E37" i="3"/>
  <c r="E38" i="3"/>
  <c r="E39" i="3"/>
  <c r="E40" i="3" s="1"/>
  <c r="E41" i="3" s="1"/>
  <c r="E42" i="3" s="1"/>
  <c r="E43" i="3" s="1"/>
  <c r="C36" i="3"/>
  <c r="C48" i="3"/>
  <c r="E19" i="3"/>
  <c r="E20" i="3"/>
  <c r="E21" i="3"/>
  <c r="E22" i="3"/>
  <c r="E23" i="3" s="1"/>
  <c r="E24" i="3" s="1"/>
  <c r="E25" i="3" s="1"/>
  <c r="E26" i="3" s="1"/>
  <c r="E27" i="3" s="1"/>
  <c r="E28" i="3" s="1"/>
  <c r="E29" i="3" s="1"/>
  <c r="E30" i="3" s="1"/>
  <c r="E31" i="3" s="1"/>
  <c r="E32" i="3" s="1"/>
  <c r="E11" i="3"/>
  <c r="E12" i="3"/>
  <c r="E13" i="3"/>
  <c r="E14" i="3"/>
  <c r="E15" i="3" s="1"/>
  <c r="E6" i="3"/>
  <c r="E7" i="3"/>
  <c r="E8" i="3"/>
  <c r="E9" i="3" s="1"/>
  <c r="C16" i="11"/>
  <c r="C53" i="2" l="1"/>
  <c r="C54" i="2"/>
  <c r="C58" i="2" s="1"/>
  <c r="C60" i="2" s="1"/>
  <c r="C66" i="2" s="1"/>
  <c r="C68" i="2" s="1"/>
  <c r="C73" i="2" s="1"/>
  <c r="C32" i="19"/>
  <c r="J24" i="19"/>
</calcChain>
</file>

<file path=xl/sharedStrings.xml><?xml version="1.0" encoding="utf-8"?>
<sst xmlns="http://schemas.openxmlformats.org/spreadsheetml/2006/main" count="2087" uniqueCount="1126">
  <si>
    <t>NO.</t>
  </si>
  <si>
    <r>
      <t>Q</t>
    </r>
    <r>
      <rPr>
        <sz val="9"/>
        <rFont val="Times New Roman"/>
        <family val="1"/>
      </rPr>
      <t>UESTIONS</t>
    </r>
    <r>
      <rPr>
        <sz val="10"/>
        <rFont val="Times New Roman"/>
        <family val="1"/>
      </rPr>
      <t xml:space="preserve"> A</t>
    </r>
    <r>
      <rPr>
        <sz val="9"/>
        <rFont val="Times New Roman"/>
        <family val="1"/>
      </rPr>
      <t>ND</t>
    </r>
    <r>
      <rPr>
        <sz val="10"/>
        <rFont val="Times New Roman"/>
        <family val="1"/>
      </rPr>
      <t xml:space="preserve"> F</t>
    </r>
    <r>
      <rPr>
        <sz val="9"/>
        <rFont val="Times New Roman"/>
        <family val="1"/>
      </rPr>
      <t>ILTERS</t>
    </r>
  </si>
  <si>
    <r>
      <t>C</t>
    </r>
    <r>
      <rPr>
        <sz val="9"/>
        <rFont val="Times New Roman"/>
        <family val="1"/>
      </rPr>
      <t>ODING</t>
    </r>
    <r>
      <rPr>
        <sz val="10"/>
        <rFont val="Times New Roman"/>
        <family val="1"/>
      </rPr>
      <t xml:space="preserve"> C</t>
    </r>
    <r>
      <rPr>
        <sz val="9"/>
        <rFont val="Times New Roman"/>
        <family val="1"/>
      </rPr>
      <t>ATEGORIES</t>
    </r>
  </si>
  <si>
    <t>Masindi</t>
  </si>
  <si>
    <t>Soroti</t>
  </si>
  <si>
    <t>Other: Pilot/test</t>
  </si>
  <si>
    <t>Language of the interview:</t>
  </si>
  <si>
    <r>
      <t xml:space="preserve">Respondent </t>
    </r>
    <r>
      <rPr>
        <b/>
        <sz val="10"/>
        <rFont val="Times New Roman"/>
        <family val="1"/>
      </rPr>
      <t>Surname</t>
    </r>
    <r>
      <rPr>
        <sz val="10"/>
        <rFont val="Times New Roman"/>
        <family val="1"/>
      </rPr>
      <t>:</t>
    </r>
  </si>
  <si>
    <t>Respondent First Name:</t>
  </si>
  <si>
    <t>Respondent third/other name:</t>
  </si>
  <si>
    <t>Respondent nickname:</t>
  </si>
  <si>
    <t>id</t>
  </si>
  <si>
    <t>Respondent ID Code</t>
  </si>
  <si>
    <t xml:space="preserve"> |___|___|___|___|___|</t>
  </si>
  <si>
    <t>id_check</t>
  </si>
  <si>
    <t>Respondent ID Code Check</t>
  </si>
  <si>
    <t>taso_id</t>
  </si>
  <si>
    <t>Respondent TASO ID</t>
  </si>
  <si>
    <t xml:space="preserve"> |___|___|___|___|___|___|___|</t>
  </si>
  <si>
    <t>Enumerator’s (FO's) name</t>
  </si>
  <si>
    <t>Enumerator's (FO's)  ID Code</t>
  </si>
  <si>
    <t>|___|___|</t>
  </si>
  <si>
    <t>Team Leader’s name</t>
  </si>
  <si>
    <t>Team Leader's ID Code</t>
  </si>
  <si>
    <t>Is the TL present at the interview?</t>
  </si>
  <si>
    <t xml:space="preserve">Yes        </t>
  </si>
  <si>
    <t>No</t>
  </si>
  <si>
    <t>consent</t>
  </si>
  <si>
    <r>
      <rPr>
        <b/>
        <sz val="10"/>
        <rFont val="Times New Roman"/>
        <family val="1"/>
      </rPr>
      <t xml:space="preserve">Do not read: </t>
    </r>
    <r>
      <rPr>
        <sz val="10"/>
        <rFont val="Times New Roman"/>
        <family val="1"/>
      </rPr>
      <t>Consent given?</t>
    </r>
  </si>
  <si>
    <t>Yes</t>
  </si>
  <si>
    <t xml:space="preserve">           Location of interview</t>
  </si>
  <si>
    <t xml:space="preserve">District: </t>
  </si>
  <si>
    <t>County:</t>
  </si>
  <si>
    <t>Sub-county:</t>
  </si>
  <si>
    <t>Parish:</t>
  </si>
  <si>
    <t>Village:</t>
  </si>
  <si>
    <t>LC1 Chairman's Name:</t>
  </si>
  <si>
    <t>What TASO CDDP do you go to?</t>
  </si>
  <si>
    <t>Whose phone number is this?</t>
  </si>
  <si>
    <r>
      <rPr>
        <b/>
        <sz val="10"/>
        <rFont val="Times New Roman"/>
        <family val="1"/>
      </rPr>
      <t>Do not read:</t>
    </r>
    <r>
      <rPr>
        <sz val="10"/>
        <rFont val="Times New Roman"/>
        <family val="1"/>
      </rPr>
      <t xml:space="preserve"> Are you suspicious that the person you are interviewing is not the one we sought for an interview?</t>
    </r>
  </si>
  <si>
    <r>
      <rPr>
        <b/>
        <sz val="10"/>
        <rFont val="Times New Roman"/>
        <family val="1"/>
      </rPr>
      <t xml:space="preserve">Do not read: </t>
    </r>
    <r>
      <rPr>
        <sz val="10"/>
        <rFont val="Times New Roman"/>
        <family val="1"/>
      </rPr>
      <t>Does this person seem emotionally, mentally, and physically capable of completing this survey?</t>
    </r>
  </si>
  <si>
    <t>No, intoxicated</t>
  </si>
  <si>
    <t>No, mentally impaired</t>
  </si>
  <si>
    <t>No, too sick or in pain</t>
  </si>
  <si>
    <t>No, deaf</t>
  </si>
  <si>
    <r>
      <rPr>
        <b/>
        <sz val="10"/>
        <rFont val="Times New Roman"/>
        <family val="1"/>
      </rPr>
      <t xml:space="preserve">Do not read: </t>
    </r>
    <r>
      <rPr>
        <sz val="10"/>
        <rFont val="Times New Roman"/>
        <family val="1"/>
      </rPr>
      <t>How well do you know the respondent and the respondent's family?</t>
    </r>
  </si>
  <si>
    <t>I do not know this person or their family</t>
  </si>
  <si>
    <t xml:space="preserve">I know who this person is, or, I have seen them before </t>
  </si>
  <si>
    <t xml:space="preserve">This person is an acquaintance (for example, I interact with him/her once in awhile)  </t>
  </si>
  <si>
    <t>→ Stop survey and consult your team leader</t>
  </si>
  <si>
    <t>I know this person a fair amount or know their family a fair amount</t>
  </si>
  <si>
    <t>I know this person very well (this includes close relatives, good friends) or know this person's family very well</t>
  </si>
  <si>
    <r>
      <rPr>
        <b/>
        <sz val="10"/>
        <rFont val="Times New Roman"/>
        <family val="1"/>
      </rPr>
      <t xml:space="preserve">Do not read: </t>
    </r>
    <r>
      <rPr>
        <sz val="10"/>
        <rFont val="Times New Roman"/>
        <family val="1"/>
      </rPr>
      <t xml:space="preserve">Are you personally from or do you currently live in a geographic location that is close to where this respondent lives? </t>
    </r>
  </si>
  <si>
    <t>No, I am not from or I do not live around this area</t>
  </si>
  <si>
    <t>Yes, I am from or I live in the same parish</t>
  </si>
  <si>
    <t>Yes, I am from or I live in the same village</t>
  </si>
  <si>
    <t>B.</t>
  </si>
  <si>
    <r>
      <rPr>
        <b/>
        <sz val="10"/>
        <color indexed="8"/>
        <rFont val="Times New Roman"/>
        <family val="1"/>
      </rPr>
      <t xml:space="preserve">OBSERVE: </t>
    </r>
    <r>
      <rPr>
        <sz val="10"/>
        <color indexed="8"/>
        <rFont val="Times New Roman"/>
        <family val="1"/>
      </rPr>
      <t>Gender of respondent</t>
    </r>
  </si>
  <si>
    <t>Male</t>
  </si>
  <si>
    <t>Female</t>
  </si>
  <si>
    <t xml:space="preserve">B. </t>
  </si>
  <si>
    <t>2.a.</t>
  </si>
  <si>
    <r>
      <t xml:space="preserve">How old are you? 
</t>
    </r>
    <r>
      <rPr>
        <b/>
        <i/>
        <sz val="10"/>
        <color indexed="8"/>
        <rFont val="Times New Roman"/>
        <family val="1"/>
      </rPr>
      <t>If respondent does not know, approximate using events table.
IF CANNOT APPROXIMATE AGE, LEAVE BLANK AND MARK 4 OR 5 ON THE NEXT QUESTION</t>
    </r>
  </si>
  <si>
    <t xml:space="preserve"> |  __ | __ |</t>
  </si>
  <si>
    <t>2.b.</t>
  </si>
  <si>
    <r>
      <rPr>
        <b/>
        <sz val="10"/>
        <color indexed="8"/>
        <rFont val="Times New Roman"/>
        <family val="1"/>
      </rPr>
      <t xml:space="preserve">Do not read: </t>
    </r>
    <r>
      <rPr>
        <sz val="10"/>
        <color indexed="8"/>
        <rFont val="Times New Roman"/>
        <family val="1"/>
      </rPr>
      <t>Is the age an approximation?</t>
    </r>
  </si>
  <si>
    <t>Respondent gave exact age</t>
  </si>
  <si>
    <t>Had to estimate based on known events</t>
  </si>
  <si>
    <t>Was not able to estimate, but respondent most likely within eligible age range</t>
  </si>
  <si>
    <t>Was not able to estimate, but respondent most likely OUTSIDE eligible age range</t>
  </si>
  <si>
    <t>3.a.</t>
  </si>
  <si>
    <t>Do you know your date of birth?</t>
  </si>
  <si>
    <t>Respondent knows exact date</t>
  </si>
  <si>
    <t xml:space="preserve">→ 3.b. </t>
  </si>
  <si>
    <t>IF NOT: Do you know your year of birth?</t>
  </si>
  <si>
    <t>Respondent knows exact year, but not date</t>
  </si>
  <si>
    <t xml:space="preserve">→ 3.c. </t>
  </si>
  <si>
    <t>IF NOT: In that case, let us try to estimate when you were born based on events that happened in Uganda at that time.</t>
  </si>
  <si>
    <t>Respondent can approximate year, but is not sure about it</t>
  </si>
  <si>
    <t>Year had to be estimated based on known events</t>
  </si>
  <si>
    <t>3.b.</t>
  </si>
  <si>
    <t>What date were you born?</t>
  </si>
  <si>
    <t>If asked 3.b→ 4</t>
  </si>
  <si>
    <t>3.c.</t>
  </si>
  <si>
    <t xml:space="preserve">What year were you born?
</t>
  </si>
  <si>
    <r>
      <t xml:space="preserve">YYYY: </t>
    </r>
    <r>
      <rPr>
        <sz val="11"/>
        <color indexed="8"/>
        <rFont val="Arial Narrow"/>
        <family val="2"/>
      </rPr>
      <t>|__|__|__|__|</t>
    </r>
  </si>
  <si>
    <t>What is your tribe?</t>
  </si>
  <si>
    <t>Acholi</t>
  </si>
  <si>
    <t>Alur</t>
  </si>
  <si>
    <t>Bafumbira</t>
  </si>
  <si>
    <t>Baganda</t>
  </si>
  <si>
    <t>Bagungu</t>
  </si>
  <si>
    <t>Bakiga</t>
  </si>
  <si>
    <t>Banyakole</t>
  </si>
  <si>
    <t>Banyarwanda</t>
  </si>
  <si>
    <t>Banyoro</t>
  </si>
  <si>
    <t>Baruli</t>
  </si>
  <si>
    <t>Batoro</t>
  </si>
  <si>
    <t>Iteso</t>
  </si>
  <si>
    <t>Japadhola</t>
  </si>
  <si>
    <t>Kumam</t>
  </si>
  <si>
    <t>Langi</t>
  </si>
  <si>
    <r>
      <t>Other</t>
    </r>
    <r>
      <rPr>
        <i/>
        <sz val="10"/>
        <rFont val="Times New Roman"/>
        <family val="1"/>
      </rPr>
      <t xml:space="preserve"> (enter code</t>
    </r>
    <r>
      <rPr>
        <i/>
        <sz val="10"/>
        <color indexed="8"/>
        <rFont val="Times New Roman"/>
        <family val="1"/>
      </rPr>
      <t xml:space="preserve">) </t>
    </r>
    <r>
      <rPr>
        <sz val="10"/>
        <color indexed="8"/>
        <rFont val="Times New Roman"/>
        <family val="1"/>
      </rPr>
      <t>[________________]</t>
    </r>
  </si>
  <si>
    <t>Refused</t>
  </si>
  <si>
    <t>Don’t know</t>
  </si>
  <si>
    <t>What is your religion?</t>
  </si>
  <si>
    <t>Catholicism</t>
  </si>
  <si>
    <t>Protestantism/Anglicanism/Church of Uganda</t>
  </si>
  <si>
    <t>Born Again/Pentecostalism/Savedee</t>
  </si>
  <si>
    <t>Islam</t>
  </si>
  <si>
    <t>Abikiriza/Faith of Unity</t>
  </si>
  <si>
    <t>Traditional religion</t>
  </si>
  <si>
    <t>Hinduism</t>
  </si>
  <si>
    <t>Non-religious/atheist</t>
  </si>
  <si>
    <t>Other Christianity (Baptist, Seventh Day Adventist, Mormon, Orthodox, Jehova's Witness, etc)</t>
  </si>
  <si>
    <r>
      <t>Other (</t>
    </r>
    <r>
      <rPr>
        <i/>
        <sz val="10"/>
        <color indexed="8"/>
        <rFont val="Times New Roman"/>
        <family val="1"/>
      </rPr>
      <t>specify</t>
    </r>
    <r>
      <rPr>
        <sz val="10"/>
        <color indexed="8"/>
        <rFont val="Times New Roman"/>
        <family val="1"/>
      </rPr>
      <t>) [_____________________]</t>
    </r>
  </si>
  <si>
    <t>What is your marital status?</t>
  </si>
  <si>
    <t>Married, monogamous</t>
  </si>
  <si>
    <t>Married, polygamous (incl. co-wife with polygamous husband)</t>
  </si>
  <si>
    <t xml:space="preserve">Widowed </t>
  </si>
  <si>
    <t xml:space="preserve">Divorced / Separated </t>
  </si>
  <si>
    <t xml:space="preserve">Cohabitating </t>
  </si>
  <si>
    <t>Never married and not cohabitating (Single)</t>
  </si>
  <si>
    <t>Non- food expenitures</t>
  </si>
  <si>
    <t xml:space="preserve">Savings </t>
  </si>
  <si>
    <t>Intro</t>
  </si>
  <si>
    <t>Basic Info</t>
  </si>
  <si>
    <t xml:space="preserve">Food (Expenditure) diversity </t>
  </si>
  <si>
    <t xml:space="preserve">Child roster </t>
  </si>
  <si>
    <t>D. 22.</t>
  </si>
  <si>
    <r>
      <t xml:space="preserve">How many </t>
    </r>
    <r>
      <rPr>
        <u/>
        <sz val="10"/>
        <color indexed="8"/>
        <rFont val="Times New Roman"/>
        <family val="1"/>
      </rPr>
      <t xml:space="preserve">children under 16 years old </t>
    </r>
    <r>
      <rPr>
        <sz val="10"/>
        <color indexed="8"/>
        <rFont val="Times New Roman"/>
        <family val="1"/>
      </rPr>
      <t xml:space="preserve"> live in this household?
IF THEY ARE CONFUSED, EXPLAIN THAT THIS IS NOT JUST THEIR CHILDREN, BUT ANYONE UNDER 16: NIECES, GRANDCHILDREN, OTHERS
</t>
    </r>
  </si>
  <si>
    <t>________</t>
  </si>
  <si>
    <t>If 0 → Ask D.22.b, then move to next section</t>
  </si>
  <si>
    <t>Automatic ID</t>
  </si>
  <si>
    <t>D. 23.a. Surname of child</t>
  </si>
  <si>
    <r>
      <t>D.26. What is [NAME]'s gender?</t>
    </r>
    <r>
      <rPr>
        <u/>
        <sz val="9"/>
        <rFont val="Cambria"/>
        <family val="1"/>
      </rPr>
      <t xml:space="preserve">
</t>
    </r>
  </si>
  <si>
    <r>
      <t xml:space="preserve">D.27. What is [NAME]'s age (in completed years)?
</t>
    </r>
    <r>
      <rPr>
        <b/>
        <i/>
        <sz val="9"/>
        <rFont val="Cambria"/>
        <family val="1"/>
      </rPr>
      <t xml:space="preserve">
If less than 1 year, put 0. 
If between 12 and 24 months, put 1. 
If don't know, put -99.</t>
    </r>
  </si>
  <si>
    <t xml:space="preserve">D.28. What level of education has [NAME] completed? </t>
  </si>
  <si>
    <r>
      <t xml:space="preserve">D.29. Is [NAME] currently enrolled in school?
</t>
    </r>
    <r>
      <rPr>
        <b/>
        <i/>
        <sz val="9"/>
        <rFont val="Cambria"/>
        <family val="1"/>
      </rPr>
      <t>If on vacation and planning to return to school, put "Yes"</t>
    </r>
  </si>
  <si>
    <t xml:space="preserve">D.30. Is this school government or private?
</t>
  </si>
  <si>
    <t>1. Male</t>
  </si>
  <si>
    <t>Use codes from "schooling level" table</t>
  </si>
  <si>
    <t>1. Yes</t>
  </si>
  <si>
    <t>1. Government</t>
  </si>
  <si>
    <t>2. Female</t>
  </si>
  <si>
    <r>
      <t xml:space="preserve">2. No </t>
    </r>
    <r>
      <rPr>
        <b/>
        <sz val="9"/>
        <rFont val="Cambria"/>
        <family val="1"/>
      </rPr>
      <t xml:space="preserve">→ Next child </t>
    </r>
  </si>
  <si>
    <t>2. Private (NGO, religious, or boarding)</t>
  </si>
  <si>
    <t>-99. Doesn't know</t>
  </si>
  <si>
    <t>1.        </t>
  </si>
  <si>
    <t>2.        </t>
  </si>
  <si>
    <t>3.        </t>
  </si>
  <si>
    <t>4.        </t>
  </si>
  <si>
    <t>D. 32.</t>
  </si>
  <si>
    <r>
      <t>Are there any children who used to live in this household and who are now away in boarding school? Please only report children that we have not counted as members of the household because they have been away for too long.
IF THERE ARE SUCH CHILDREN, ASK: How many are there? 
IF NONE, put 0</t>
    </r>
    <r>
      <rPr>
        <sz val="10"/>
        <color indexed="8"/>
        <rFont val="Times New Roman"/>
        <family val="1"/>
      </rPr>
      <t xml:space="preserve">
AFTER RESPONDENT GIVES ANSWER (If not 0), SAY: Thank you. Now, when we talk about each child in turn, we do not want to include these children.
</t>
    </r>
  </si>
  <si>
    <t>HOUSEHOLD; CHILD ROSTER</t>
  </si>
  <si>
    <t>DWELLING</t>
  </si>
  <si>
    <t xml:space="preserve">E. </t>
  </si>
  <si>
    <r>
      <t xml:space="preserve">How many rooms in this household are there for sleeping? Please include all the different rooms and structures in your compound where all your household members, including children, sleep. 
</t>
    </r>
    <r>
      <rPr>
        <b/>
        <sz val="10"/>
        <rFont val="Times New Roman"/>
        <family val="1"/>
      </rPr>
      <t>If huts, count each hut as 1 room. If multi-purpose room, but people sleep there, count it.</t>
    </r>
    <r>
      <rPr>
        <sz val="10"/>
        <rFont val="Times New Roman"/>
        <family val="1"/>
      </rPr>
      <t xml:space="preserve">
</t>
    </r>
  </si>
  <si>
    <t>Number of rooms/huts:   |___|___|</t>
  </si>
  <si>
    <t>Is the house where you sleep owned by your household, rented, subsidized, provided free to you, or occupied without authorization [squatting]?</t>
  </si>
  <si>
    <t>Owned</t>
    <phoneticPr fontId="0" type="noConversion"/>
  </si>
  <si>
    <t>Rented (from government or NGO)</t>
    <phoneticPr fontId="0" type="noConversion"/>
  </si>
  <si>
    <t>Rented (from a private citizen)</t>
    <phoneticPr fontId="0" type="noConversion"/>
  </si>
  <si>
    <t>Subsidized (from government or NGO)</t>
    <phoneticPr fontId="0" type="noConversion"/>
  </si>
  <si>
    <t>Subsidized (from a private citizen)</t>
    <phoneticPr fontId="0" type="noConversion"/>
  </si>
  <si>
    <t>Free (from government or NGO)</t>
  </si>
  <si>
    <t>Free (from a private citizen -- e.g.., gift from a son)</t>
  </si>
  <si>
    <t>Squatting (public land)</t>
    <phoneticPr fontId="0" type="noConversion"/>
  </si>
  <si>
    <t>Squatting (private land)</t>
    <phoneticPr fontId="0" type="noConversion"/>
  </si>
  <si>
    <t>Don't know</t>
  </si>
  <si>
    <r>
      <t xml:space="preserve">What is the </t>
    </r>
    <r>
      <rPr>
        <u/>
        <sz val="10"/>
        <rFont val="Times New Roman"/>
        <family val="1"/>
      </rPr>
      <t>main</t>
    </r>
    <r>
      <rPr>
        <sz val="10"/>
        <rFont val="Times New Roman"/>
        <family val="1"/>
      </rPr>
      <t xml:space="preserve"> type of material is used for the roof of the house where you sleep?
</t>
    </r>
    <r>
      <rPr>
        <b/>
        <i/>
        <sz val="10"/>
        <rFont val="Times New Roman"/>
        <family val="1"/>
      </rPr>
      <t>Observe if this is correct (if possible) and prod if your observations do not match the answer.</t>
    </r>
  </si>
  <si>
    <t xml:space="preserve"> Iron sheets</t>
  </si>
  <si>
    <t xml:space="preserve"> Tiles</t>
  </si>
  <si>
    <t xml:space="preserve"> Asbestos</t>
  </si>
  <si>
    <t xml:space="preserve"> Concrete</t>
  </si>
  <si>
    <t xml:space="preserve"> Tins</t>
  </si>
  <si>
    <t xml:space="preserve"> Grass / Papyrus</t>
  </si>
  <si>
    <r>
      <t>Other (</t>
    </r>
    <r>
      <rPr>
        <sz val="8"/>
        <rFont val="Times New Roman"/>
        <family val="1"/>
      </rPr>
      <t>SPECIFY</t>
    </r>
    <r>
      <rPr>
        <sz val="10"/>
        <rFont val="Times New Roman"/>
        <family val="1"/>
      </rPr>
      <t>): _________________</t>
    </r>
  </si>
  <si>
    <r>
      <t xml:space="preserve">What is the </t>
    </r>
    <r>
      <rPr>
        <u/>
        <sz val="10"/>
        <rFont val="Times New Roman"/>
        <family val="1"/>
      </rPr>
      <t>main</t>
    </r>
    <r>
      <rPr>
        <sz val="10"/>
        <rFont val="Times New Roman"/>
        <family val="1"/>
      </rPr>
      <t xml:space="preserve"> type of material used for the walls of the house where you sleep?
</t>
    </r>
    <r>
      <rPr>
        <b/>
        <i/>
        <sz val="10"/>
        <rFont val="Times New Roman"/>
        <family val="1"/>
      </rPr>
      <t>Observe if this is correct (if possible) and prod if your observations do not match the answer.</t>
    </r>
  </si>
  <si>
    <t xml:space="preserve"> Burnt/stabilized bricks with cement</t>
  </si>
  <si>
    <t xml:space="preserve"> Burnt/stabilized bricks with mud</t>
  </si>
  <si>
    <t xml:space="preserve"> Cement Blocks</t>
  </si>
  <si>
    <t xml:space="preserve"> Stone with cement</t>
  </si>
  <si>
    <t xml:space="preserve"> Unburnt Bricks with cement</t>
  </si>
  <si>
    <t xml:space="preserve"> Unburnt Bricks with mud</t>
  </si>
  <si>
    <t xml:space="preserve"> Wood</t>
  </si>
  <si>
    <t xml:space="preserve"> Mud and poles</t>
  </si>
  <si>
    <r>
      <t>What is the</t>
    </r>
    <r>
      <rPr>
        <u/>
        <sz val="10"/>
        <rFont val="Times New Roman"/>
        <family val="1"/>
      </rPr>
      <t xml:space="preserve"> main </t>
    </r>
    <r>
      <rPr>
        <sz val="10"/>
        <rFont val="Times New Roman"/>
        <family val="1"/>
      </rPr>
      <t xml:space="preserve">type of material used for the floor of the house where you sleep?
</t>
    </r>
    <r>
      <rPr>
        <b/>
        <i/>
        <sz val="10"/>
        <rFont val="Times New Roman"/>
        <family val="1"/>
      </rPr>
      <t>Observe if this is correct (if possible) and prod if your observations do not match the answer.</t>
    </r>
  </si>
  <si>
    <t>Concrete/Stone</t>
  </si>
  <si>
    <t>Bricks</t>
  </si>
  <si>
    <t>Cement screed</t>
  </si>
  <si>
    <t>Rammed earth</t>
  </si>
  <si>
    <t xml:space="preserve">Wood </t>
  </si>
  <si>
    <t>Cow dung</t>
    <phoneticPr fontId="0" type="noConversion"/>
  </si>
  <si>
    <r>
      <t xml:space="preserve">What is your household's </t>
    </r>
    <r>
      <rPr>
        <u/>
        <sz val="10"/>
        <rFont val="Times New Roman"/>
        <family val="1"/>
      </rPr>
      <t>main</t>
    </r>
    <r>
      <rPr>
        <sz val="10"/>
        <rFont val="Times New Roman"/>
        <family val="1"/>
      </rPr>
      <t xml:space="preserve"> source of fuel or energy for lighting?</t>
    </r>
  </si>
  <si>
    <t>Electricity</t>
  </si>
  <si>
    <t>Gas</t>
  </si>
  <si>
    <t>Solar</t>
  </si>
  <si>
    <t>Energy-saver light with battery</t>
  </si>
  <si>
    <t>Paraffin (Lantern)</t>
  </si>
  <si>
    <t>Paraffin (Tadooba)</t>
  </si>
  <si>
    <t>Candle</t>
  </si>
  <si>
    <t>Firewood</t>
  </si>
  <si>
    <t>Cow dung or grass (reeds)</t>
  </si>
  <si>
    <t>What type of toilet does your household usually use?</t>
  </si>
  <si>
    <t>Flush toilet</t>
  </si>
  <si>
    <t>Covered pit latrine</t>
  </si>
  <si>
    <t>Uncovered pit latrine</t>
  </si>
  <si>
    <t>Composting toilet</t>
  </si>
  <si>
    <t>Bucket toilet</t>
  </si>
  <si>
    <t>No facility/bush/field</t>
  </si>
  <si>
    <t>à</t>
  </si>
  <si>
    <t>E.</t>
  </si>
  <si>
    <t>Do you share this toilet with other households?</t>
  </si>
  <si>
    <t>What is the nearest source of drinking water to your household that you regularly use?</t>
  </si>
  <si>
    <t>Piped water/Tap in compound</t>
  </si>
  <si>
    <t>Public tap/standpipe</t>
  </si>
  <si>
    <t>Tube well or borehole</t>
  </si>
  <si>
    <t>Protected well</t>
  </si>
  <si>
    <t>Unprotected well</t>
  </si>
  <si>
    <t>Protected spring</t>
  </si>
  <si>
    <t>Unprotected spring</t>
  </si>
  <si>
    <t>Surface water (River, dam, lake, pond, stream)</t>
  </si>
  <si>
    <t>Rainwater</t>
  </si>
  <si>
    <t>Bottled water</t>
  </si>
  <si>
    <r>
      <t xml:space="preserve">Approximately how long does it take for you to get to this source, get water, and come back? </t>
    </r>
    <r>
      <rPr>
        <b/>
        <sz val="10"/>
        <rFont val="Times New Roman"/>
        <family val="1"/>
      </rPr>
      <t xml:space="preserve">Put 0 if in compound. </t>
    </r>
  </si>
  <si>
    <t>HH: |__|__|  MM: |__|__|</t>
  </si>
  <si>
    <t>Do you or any members of your household have access to any plots of land that can be used for farming (owned, rented, borrowed), even if you are not currently using them?</t>
  </si>
  <si>
    <r>
      <t xml:space="preserve">What is the surface area of the household's total land that is:
</t>
    </r>
    <r>
      <rPr>
        <b/>
        <sz val="10"/>
        <rFont val="Times New Roman"/>
        <family val="1"/>
      </rPr>
      <t>If none, put 0 for quantity and leave unit blank</t>
    </r>
  </si>
  <si>
    <r>
      <rPr>
        <b/>
        <sz val="10"/>
        <rFont val="Times New Roman"/>
        <family val="1"/>
      </rPr>
      <t>Unit</t>
    </r>
    <r>
      <rPr>
        <b/>
        <i/>
        <sz val="10"/>
        <rFont val="Times New Roman"/>
        <family val="1"/>
      </rPr>
      <t xml:space="preserve">
</t>
    </r>
    <r>
      <rPr>
        <b/>
        <i/>
        <sz val="9"/>
        <rFont val="Times New Roman"/>
        <family val="1"/>
      </rPr>
      <t>Use land units table</t>
    </r>
  </si>
  <si>
    <r>
      <rPr>
        <b/>
        <sz val="10"/>
        <rFont val="Times New Roman"/>
        <family val="1"/>
      </rPr>
      <t>Quantity</t>
    </r>
    <r>
      <rPr>
        <b/>
        <i/>
        <sz val="10"/>
        <rFont val="Times New Roman"/>
        <family val="1"/>
      </rPr>
      <t xml:space="preserve">
Put decimals (&lt; 1 unit) after dot
</t>
    </r>
  </si>
  <si>
    <t>Owned?</t>
  </si>
  <si>
    <t>Rented?</t>
  </si>
  <si>
    <t>Borrowed?</t>
  </si>
  <si>
    <t>Squatted?</t>
  </si>
  <si>
    <t>ASSETS</t>
  </si>
  <si>
    <t>Do you own any _______?</t>
  </si>
  <si>
    <r>
      <t xml:space="preserve">If yes, how many do you own?
</t>
    </r>
    <r>
      <rPr>
        <b/>
        <i/>
        <sz val="10"/>
        <rFont val="Times New Roman"/>
        <family val="1"/>
      </rPr>
      <t>If don't know, put -99</t>
    </r>
  </si>
  <si>
    <t>Cattle, including oxen, cows, and calves</t>
  </si>
  <si>
    <t>________________</t>
  </si>
  <si>
    <t>Goats and sheep</t>
  </si>
  <si>
    <t>Donkeys</t>
  </si>
  <si>
    <r>
      <t xml:space="preserve">Pigs  </t>
    </r>
    <r>
      <rPr>
        <b/>
        <sz val="10"/>
        <rFont val="Times New Roman"/>
        <family val="1"/>
      </rPr>
      <t xml:space="preserve">(do </t>
    </r>
    <r>
      <rPr>
        <b/>
        <u/>
        <sz val="10"/>
        <rFont val="Times New Roman"/>
        <family val="1"/>
      </rPr>
      <t>not</t>
    </r>
    <r>
      <rPr>
        <b/>
        <sz val="10"/>
        <rFont val="Times New Roman"/>
        <family val="1"/>
      </rPr>
      <t xml:space="preserve"> ask of Muslim respondents)</t>
    </r>
  </si>
  <si>
    <t>Chickens, ducks, or turkeys</t>
  </si>
  <si>
    <t>Mobile phones</t>
  </si>
  <si>
    <t>Radios</t>
  </si>
  <si>
    <t>Televisions</t>
  </si>
  <si>
    <t>Bicycles</t>
  </si>
  <si>
    <t>Motorcycles</t>
  </si>
  <si>
    <t>Motor vehicle (car, truck, or motorized tractor)</t>
  </si>
  <si>
    <t xml:space="preserve">Does every member of your household have at least 2 sets of clothes? By a set of clothes we mean a skirt or pants and a t-shirt, or a dress -- the pants and shirt do not have to match. </t>
  </si>
  <si>
    <t>Does every member of your household have at least one pair of shoes (including boots, sandals, and slippers)?</t>
  </si>
  <si>
    <r>
      <t>S</t>
    </r>
    <r>
      <rPr>
        <sz val="9"/>
        <color rgb="FFFF0000"/>
        <rFont val="Times New Roman"/>
        <family val="1"/>
      </rPr>
      <t>KIP</t>
    </r>
  </si>
  <si>
    <t xml:space="preserve">HH Resourses &amp; HH Assests </t>
  </si>
  <si>
    <t xml:space="preserve">So far we have talked about how you spent your money on food. Now I'd like to know what other expenditures you have, for self or for your household.  First we will talk about some expenses that are monthly, and then about your spending in the past 3 weeks. </t>
  </si>
  <si>
    <t>QUESTIONS AND FILTERS</t>
  </si>
  <si>
    <t>CODING CATEGORIES</t>
  </si>
  <si>
    <t xml:space="preserve">Skips </t>
  </si>
  <si>
    <t>varname</t>
  </si>
  <si>
    <t>Do you pay any of the following on a monthly basis?</t>
  </si>
  <si>
    <t xml:space="preserve">b. If YES, read:
How much do you pay per month
</t>
  </si>
  <si>
    <t>D</t>
  </si>
  <si>
    <t>Rent for house?
INSTRUCTION: Make sure the house reported is used for dwelling and not for business</t>
  </si>
  <si>
    <t>|__|,|__|__|__|,|__|__|__| UGX</t>
  </si>
  <si>
    <t>d1_monthrent_yn</t>
  </si>
  <si>
    <t>d1_monthrent_amt</t>
  </si>
  <si>
    <t xml:space="preserve">Don't know </t>
  </si>
  <si>
    <t>Water?
DO NOT COUNT water costs that are included in rent</t>
  </si>
  <si>
    <t>d2_monthwater_yn</t>
  </si>
  <si>
    <t>d2_monthwater_amt</t>
  </si>
  <si>
    <t>Electricity?
DO NOT COUNT electricity costs that are included in rent</t>
  </si>
  <si>
    <t>d3_monthelectr_yn</t>
  </si>
  <si>
    <t>d3_monthelectr_amt</t>
  </si>
  <si>
    <t xml:space="preserve">Now we have finished talking about the possible monthly expenses. Now I want to ask you about purchases you made in the past 3 weeks. </t>
  </si>
  <si>
    <t>During the past 3 weeks, did you purchase or pay for any…?
IF IN KIND CONTRIBUTION: Help the respondent calculate the value of the contribution</t>
  </si>
  <si>
    <t xml:space="preserve">If YES, read:
How much did you pay in total?
</t>
  </si>
  <si>
    <t>Rent for house?</t>
  </si>
  <si>
    <t>d4_rent_yn</t>
  </si>
  <si>
    <t>d4_rent_amt</t>
  </si>
  <si>
    <t>Water?</t>
  </si>
  <si>
    <t>d5_water_yn</t>
  </si>
  <si>
    <t>d5_water_amt</t>
  </si>
  <si>
    <t>Electricity (for lighting and cooking)?</t>
  </si>
  <si>
    <t>d6_electr</t>
  </si>
  <si>
    <t>Charcoal / Firewood?</t>
  </si>
  <si>
    <t>d6_charcoal</t>
  </si>
  <si>
    <t>Kerosene  / gas / petrol / paraffin (for lighting, cooking, generators)?</t>
  </si>
  <si>
    <t>d8_gas</t>
  </si>
  <si>
    <t>Transport - matatus, buses and boda bodas?</t>
  </si>
  <si>
    <t>d9_transport</t>
  </si>
  <si>
    <t>Fuel for using own/household  vehicle?
IF NONE, PUT N/A</t>
  </si>
  <si>
    <t>d10_fuel</t>
  </si>
  <si>
    <t xml:space="preserve">N/A </t>
  </si>
  <si>
    <t>d11_cigarettes</t>
  </si>
  <si>
    <t>Soap (bar soap for bathing or washing and washing powder, Omo, Nomi)?</t>
  </si>
  <si>
    <t>d12_soap</t>
  </si>
  <si>
    <t>Toilet paper?</t>
  </si>
  <si>
    <t>d13_toiletpap</t>
  </si>
  <si>
    <t>d14_cosmetic</t>
  </si>
  <si>
    <t>d15_hhcleaning</t>
  </si>
  <si>
    <r>
      <t>Repairs, maintenance or improvements to home / dwelling.</t>
    </r>
    <r>
      <rPr>
        <i/>
        <sz val="10"/>
        <rFont val="Times New Roman"/>
        <family val="1"/>
      </rPr>
      <t xml:space="preserve"> (Buildings on their compound, e.g. house, latrine, fence etc.)</t>
    </r>
  </si>
  <si>
    <t>d16_homerepair</t>
  </si>
  <si>
    <r>
      <t xml:space="preserve">Repairs to household and personal items </t>
    </r>
    <r>
      <rPr>
        <i/>
        <sz val="10"/>
        <rFont val="Times New Roman"/>
        <family val="1"/>
      </rPr>
      <t>(e.g. phone, Jerri can, shoes, saucepans, bike, clothes)</t>
    </r>
  </si>
  <si>
    <t>d17_itemrepair</t>
  </si>
  <si>
    <t>d18_donations</t>
  </si>
  <si>
    <t xml:space="preserve">Funeral, wedding, and other celebration/ceremony contributions
</t>
  </si>
  <si>
    <t>d19_funeral</t>
  </si>
  <si>
    <t>Newspapers and magazines</t>
  </si>
  <si>
    <t>d20_newspaper</t>
  </si>
  <si>
    <t>Airtime or phone charging costs for personal use (either for calls or for data on the phone)?</t>
  </si>
  <si>
    <t>d21_airtime</t>
  </si>
  <si>
    <r>
      <t xml:space="preserve">Internet use </t>
    </r>
    <r>
      <rPr>
        <i/>
        <sz val="10"/>
        <rFont val="Times New Roman"/>
        <family val="1"/>
      </rPr>
      <t>(Do not include internet- time received from promotion codes or data used on phones)</t>
    </r>
  </si>
  <si>
    <t>d22_internet</t>
  </si>
  <si>
    <t>a. Health care for yourself?</t>
  </si>
  <si>
    <t>d23a_healthresp_yn</t>
  </si>
  <si>
    <t>→</t>
  </si>
  <si>
    <t>D.24</t>
  </si>
  <si>
    <t>d23a_healthresp_amt</t>
  </si>
  <si>
    <t>b. If yes, what did you spend money on?
MARK ALL THAT APPLY</t>
  </si>
  <si>
    <t xml:space="preserve">Fee of doctors consultation </t>
  </si>
  <si>
    <t>d23b_healthresp_cat</t>
  </si>
  <si>
    <t>Fee of seeing  a nurse/midwife, or other medical staff</t>
  </si>
  <si>
    <t>Costs of buying medication</t>
  </si>
  <si>
    <t xml:space="preserve">Travel costs to get to/from health care facility </t>
  </si>
  <si>
    <t>Outstanding payment for health care services</t>
  </si>
  <si>
    <t>Lab/Test Costs</t>
  </si>
  <si>
    <t>Hospitalization (i.e. getting admitted)</t>
  </si>
  <si>
    <t>TASO fee</t>
  </si>
  <si>
    <t>Unsure of specific purpose</t>
  </si>
  <si>
    <t xml:space="preserve">Dental service </t>
  </si>
  <si>
    <t xml:space="preserve">Other </t>
  </si>
  <si>
    <t>a. Health care for someone else?</t>
  </si>
  <si>
    <t>d24a_healthothers_yn</t>
  </si>
  <si>
    <t>d24a_healthothers_amt</t>
  </si>
  <si>
    <t>b. If yes, what did you spend money on? 
MARK ALL THAT APPLY</t>
  </si>
  <si>
    <t>d24a_healthothers_cat</t>
  </si>
  <si>
    <t>c. How is the person that you paid health care services for related to you?
INSTRUCTION: Fill in the sentence "The person the respondent paid for is the respondent's _________"
MARK ALL THAT APPLY</t>
  </si>
  <si>
    <t>Spouse / partner</t>
  </si>
  <si>
    <t>d24c_healthrelate</t>
  </si>
  <si>
    <t>Son / daughter</t>
  </si>
  <si>
    <t>Son-in-law / daughter-in-law</t>
  </si>
  <si>
    <t>Grandchild</t>
  </si>
  <si>
    <t>Mother/father</t>
  </si>
  <si>
    <t>Mother-in-law / father-in-law</t>
  </si>
  <si>
    <t>Grandparent</t>
  </si>
  <si>
    <t>Brother / sister</t>
  </si>
  <si>
    <t>Brother/sister-in-law</t>
  </si>
  <si>
    <t>Niece / nephew</t>
  </si>
  <si>
    <t>Cousin</t>
  </si>
  <si>
    <t xml:space="preserve">Friend </t>
  </si>
  <si>
    <t>Other TASO member</t>
  </si>
  <si>
    <t>School fees, books, uniform, transport  to/from school, and other school costs for  children in your household
INSTRUCTIONS: Include other appropriate costs such as pocket money</t>
  </si>
  <si>
    <t>d25_school</t>
  </si>
  <si>
    <r>
      <t xml:space="preserve">Costs for skills training/ vocational training for yourself.  </t>
    </r>
    <r>
      <rPr>
        <i/>
        <sz val="10"/>
        <rFont val="Times New Roman"/>
        <family val="1"/>
      </rPr>
      <t>(Include fees, books, uniform and transport to/from school)</t>
    </r>
  </si>
  <si>
    <t>d26_training</t>
  </si>
  <si>
    <t>d27_ag</t>
  </si>
  <si>
    <t>We have now talked about a different things that you may have spent money on in the past 3 weeks. Now I would like to ask you if there are any other expenditures that you incurred that we haven't discussed yet .</t>
  </si>
  <si>
    <t>In the past 3 weeks, what else did you spend money on for personal and/or household  use, and how much did it cost?  
DO NOT READ: Mark "Yes" if respondent lists any items to record them.</t>
  </si>
  <si>
    <t>d28_other</t>
  </si>
  <si>
    <r>
      <rPr>
        <sz val="10"/>
        <rFont val="Cambria"/>
        <family val="1"/>
      </rPr>
      <t>→</t>
    </r>
    <r>
      <rPr>
        <sz val="9"/>
        <rFont val="Times New Roman"/>
        <family val="1"/>
      </rPr>
      <t>Next Section</t>
    </r>
  </si>
  <si>
    <t>Item:</t>
  </si>
  <si>
    <t>Cost in UGX:</t>
  </si>
  <si>
    <t>d29_other_item</t>
  </si>
  <si>
    <t>d29_other_amt</t>
  </si>
  <si>
    <t>READ. I am now going to ask you questions about what you and your household have been eating in the past 7 days. I would like to ask you to be as precise as you possibly can. 
Before we talk about this, let us discuss what we mean by household in this survey, and who we should count as your household this time. By household throughout the survey we mean a group of persons who: 
--live together in the same dwelling or compound,
--recognize one person as the head, 
--share the same housekeeping arrangement and eat from the same pot,
--contribute financially and/or receive financial support from the household,
--and have lived in the household for at least 30 days consecutively or 60 days non consecutively in the last three months.</t>
  </si>
  <si>
    <t>Instructions: I will be reading out different food groups to you. And, we will be discussing them one at the time. We will talk about all the food that you have eaten in the past 7days. But to make it easier, please don't tell me about all the foods you have had in one go, we will be discussing them one at the time.</t>
  </si>
  <si>
    <t>Did the household consume the  following food items in the past 7 days? (within the household)</t>
  </si>
  <si>
    <t>b. If a=YES, read:  How many days did you consume this item in the past seven days?</t>
  </si>
  <si>
    <t>C</t>
  </si>
  <si>
    <r>
      <rPr>
        <sz val="10"/>
        <rFont val="Times New Roman"/>
        <family val="1"/>
      </rPr>
      <t xml:space="preserve">Cereals, grains, and cereal products?       </t>
    </r>
    <r>
      <rPr>
        <i/>
        <sz val="10"/>
        <rFont val="Times New Roman"/>
        <family val="1"/>
      </rPr>
      <t xml:space="preserve">                                        (maize grain/flour/ posho; green maize; rice; finger millet; pearl millet; sorghum; wheat flour; bread; pasta; other cereal)</t>
    </r>
  </si>
  <si>
    <t xml:space="preserve"> | __ | </t>
  </si>
  <si>
    <t xml:space="preserve">Days </t>
  </si>
  <si>
    <r>
      <rPr>
        <sz val="10"/>
        <rFont val="Times New Roman"/>
        <family val="1"/>
      </rPr>
      <t>Roots, tubers, and matooke</t>
    </r>
    <r>
      <rPr>
        <i/>
        <sz val="10"/>
        <rFont val="Times New Roman"/>
        <family val="1"/>
      </rPr>
      <t xml:space="preserve">
(cassava tuber/flour; sweet potato; Irish potato; other tuber/plantain/matooke)</t>
    </r>
  </si>
  <si>
    <r>
      <rPr>
        <sz val="10"/>
        <rFont val="Times New Roman"/>
        <family val="1"/>
      </rPr>
      <t>Nuts and pulses</t>
    </r>
    <r>
      <rPr>
        <i/>
        <sz val="10"/>
        <rFont val="Times New Roman"/>
        <family val="1"/>
      </rPr>
      <t xml:space="preserve">
(bean; pigeon pea; groundnut; green bean; cow pea; other nut/pulse)</t>
    </r>
  </si>
  <si>
    <r>
      <rPr>
        <sz val="10"/>
        <rFont val="Times New Roman"/>
        <family val="1"/>
      </rPr>
      <t>Vegetables</t>
    </r>
    <r>
      <rPr>
        <i/>
        <sz val="10"/>
        <rFont val="Times New Roman"/>
        <family val="1"/>
      </rPr>
      <t xml:space="preserve">
(onion; onion leaves; cabbage; wild green leaves; tomato; dodo; cucumber; other vegetables/leaves)</t>
    </r>
  </si>
  <si>
    <r>
      <rPr>
        <sz val="10"/>
        <rFont val="Times New Roman"/>
        <family val="1"/>
      </rPr>
      <t xml:space="preserve">Meat, fish and animal products
</t>
    </r>
    <r>
      <rPr>
        <i/>
        <sz val="10"/>
        <rFont val="Times New Roman"/>
        <family val="1"/>
      </rPr>
      <t>(egg; dried/fresh/smoked fish; beef; goat meat; pork; poultry; other meat)</t>
    </r>
  </si>
  <si>
    <r>
      <rPr>
        <sz val="10"/>
        <rFont val="Times New Roman"/>
        <family val="1"/>
      </rPr>
      <t xml:space="preserve">Fruits
</t>
    </r>
    <r>
      <rPr>
        <i/>
        <sz val="10"/>
        <rFont val="Times New Roman"/>
        <family val="1"/>
      </rPr>
      <t>(mango; banana; citrus; pineapple; papayas avocado; apple; other fruit)</t>
    </r>
  </si>
  <si>
    <r>
      <rPr>
        <sz val="10"/>
        <rFont val="Times New Roman"/>
        <family val="1"/>
      </rPr>
      <t xml:space="preserve">Milk/milk products
</t>
    </r>
    <r>
      <rPr>
        <i/>
        <sz val="10"/>
        <rFont val="Times New Roman"/>
        <family val="1"/>
      </rPr>
      <t>(fresh/powdered/soured milk; yoghurt; cheese; other milk product - excluding margarine/butter or small amounts of milk for tea/coffee)</t>
    </r>
  </si>
  <si>
    <r>
      <rPr>
        <sz val="10"/>
        <rFont val="Times New Roman"/>
        <family val="1"/>
      </rPr>
      <t xml:space="preserve">Fats/oil
</t>
    </r>
    <r>
      <rPr>
        <i/>
        <sz val="10"/>
        <rFont val="Times New Roman"/>
        <family val="1"/>
      </rPr>
      <t>(cooking oil; butter; margarine; kimbo; other fat/oil)</t>
    </r>
  </si>
  <si>
    <r>
      <t xml:space="preserve">Sugar/sugar products/honey
</t>
    </r>
    <r>
      <rPr>
        <i/>
        <sz val="10"/>
        <rFont val="Times New Roman"/>
        <family val="1"/>
      </rPr>
      <t>(sugar; sugar cane; honey; jam; jelly; sweets/candy/chocolate; other sugar product)</t>
    </r>
  </si>
  <si>
    <r>
      <rPr>
        <sz val="10"/>
        <rFont val="Times New Roman"/>
        <family val="1"/>
      </rPr>
      <t>Spices</t>
    </r>
    <r>
      <rPr>
        <i/>
        <sz val="10"/>
        <rFont val="Times New Roman"/>
        <family val="1"/>
      </rPr>
      <t xml:space="preserve">
(tea; coffee/cocoa/milo; </t>
    </r>
    <r>
      <rPr>
        <b/>
        <i/>
        <sz val="10"/>
        <rFont val="Times New Roman"/>
        <family val="1"/>
      </rPr>
      <t>salt;</t>
    </r>
    <r>
      <rPr>
        <i/>
        <sz val="10"/>
        <rFont val="Times New Roman"/>
        <family val="1"/>
      </rPr>
      <t xml:space="preserve"> spices; yeast/baking powder; tomato sauce, hot sauce; fish powder/sauce; other condiment - including small amounts of milk for tea/coffee)</t>
    </r>
  </si>
  <si>
    <r>
      <t>Sodas or other non-alcoholic drinks.</t>
    </r>
    <r>
      <rPr>
        <i/>
        <sz val="10"/>
        <rFont val="Times New Roman"/>
        <family val="1"/>
      </rPr>
      <t xml:space="preserve"> E.g. juice but not water</t>
    </r>
  </si>
  <si>
    <t>Wine, commercial beer, spirits or local brews (including waragi)</t>
  </si>
  <si>
    <r>
      <t xml:space="preserve">We have talked about food consumed in the household. Now I'm interested in knowing what food </t>
    </r>
    <r>
      <rPr>
        <b/>
        <sz val="10"/>
        <rFont val="Times New Roman"/>
        <family val="1"/>
      </rPr>
      <t>you</t>
    </r>
    <r>
      <rPr>
        <sz val="10"/>
        <rFont val="Times New Roman"/>
        <family val="1"/>
      </rPr>
      <t xml:space="preserve"> have purchased and consumed outside your household. Before I asked you about food consumed in the past 7 days, but now I want to know about what you have purchased and consumed in the past 3 weeks. Please only count the food that you yourself consumed; so, if you went to a hotel with your spouse and both had dinner, you only count how much your dinner cost.</t>
    </r>
  </si>
  <si>
    <t xml:space="preserve">DO NOT READ: In this part of the module we are only interested in recording the food that the respondent  (not the whole household) has consumed outside the household. </t>
  </si>
  <si>
    <t>In the last 3 weeks…</t>
  </si>
  <si>
    <t>b. If a=YES, read:  What was the value of this consumption?</t>
  </si>
  <si>
    <t xml:space="preserve">Did you consume any full meals (breakfast, lunch, or dinner) outside of the household?
Please do not count meals that only contained tea and snacks. </t>
  </si>
  <si>
    <t>|__|__|__|,|__|__|__| UGX</t>
  </si>
  <si>
    <t>Did you consume any roasted meats, chips, roasted maize, or other snacks prepared on charcoal outside of the household?</t>
  </si>
  <si>
    <t xml:space="preserve">Did you consume tea, coffee, samosas, cake, bread, or other hotel snacks outside of the household?
Please do not count what has already been reported as a part of a full meal.
</t>
  </si>
  <si>
    <t>Did you purchase and consume any sodas, water, or other non-alcoholic drinks outside of the household?</t>
  </si>
  <si>
    <t>Did you consume any wine, commercial beer, spirits, or local brews (including waragi) outside of the household?</t>
  </si>
  <si>
    <t>Did you consume any sweets or ice cream outside of the household?</t>
  </si>
  <si>
    <t>READ. Now I'd like to ask you some questions about how you earn money. I am not only interested in whether you have job with a paid salary or you run a big business. I want to know about all the different ways that you use to raise money, even if they are smaller amounts.</t>
  </si>
  <si>
    <r>
      <t>S</t>
    </r>
    <r>
      <rPr>
        <sz val="9"/>
        <rFont val="Times New Roman"/>
        <family val="1"/>
      </rPr>
      <t>KIP</t>
    </r>
  </si>
  <si>
    <t>G</t>
  </si>
  <si>
    <t>Do you grow crops for commercial purpose?</t>
  </si>
  <si>
    <t>g7_business</t>
  </si>
  <si>
    <r>
      <t xml:space="preserve">Do you raise any income by keeping animals ? </t>
    </r>
    <r>
      <rPr>
        <i/>
        <sz val="10"/>
        <rFont val="Times New Roman"/>
        <family val="1"/>
      </rPr>
      <t xml:space="preserve"> E.g. sold eggs from chickens or milk from cows, sold an animal for slaughter or breeding.</t>
    </r>
  </si>
  <si>
    <t>g1_numbus</t>
  </si>
  <si>
    <t>g2_bustype</t>
  </si>
  <si>
    <t>g3_busact</t>
  </si>
  <si>
    <t>Do you own a business? This business can be big or small, agricultural or non-agricultural, and owned by yourself or jointly with others in your household or with partners.</t>
  </si>
  <si>
    <t>g4_farm_comm</t>
  </si>
  <si>
    <t>How many different businesses do you own? If you sell different things from the same location, please count that as one business, not many.</t>
  </si>
  <si>
    <t xml:space="preserve"> |___|___|___|</t>
  </si>
  <si>
    <t>What kind of business is this? (What sector does it belong to?)</t>
  </si>
  <si>
    <t>Use business code: |___|___|</t>
  </si>
  <si>
    <t>Is this an active business that you are currently running? Please tell me if you have sold the business, or not doing it this season or year, or stopped being involved in running it.</t>
  </si>
  <si>
    <t>Yes, active</t>
  </si>
  <si>
    <t>g5_soldcrops</t>
  </si>
  <si>
    <t>No, not active</t>
  </si>
  <si>
    <t>Next bus.</t>
  </si>
  <si>
    <t>In the past 3 weeks have you sold any crops grown by your household that were meant for your own consumption to raise income for your family?
IF CONFUSED, PROBE: This means crops that were not meant for commercial sale but that you sold either because there was a surplus or because you needed to get money.</t>
  </si>
  <si>
    <t>g6_husbandry</t>
  </si>
  <si>
    <t>Do you have any money-making activities other than farming and/or your business?</t>
  </si>
  <si>
    <t>g11_money_act</t>
  </si>
  <si>
    <t>If yes, what other money making activity are you doing?</t>
  </si>
  <si>
    <t>Use Occupation Code: 
|__|__|</t>
  </si>
  <si>
    <t>g12_money_code</t>
  </si>
  <si>
    <t>H. TIME USE</t>
  </si>
  <si>
    <t xml:space="preserve">Read: Now I want to ask you how you have spent your time last 7 days. This includes activities you do for money or trade, or for  the household and / or yourself.
I will read you a list of activities, and you will say what you have done in the past 4 weeks. Then I will ask you about each activity in the past 7 days. So, in the last four weeks have you…?
INSTRUCTION: Ask about each activity from the list. If yes, put the corresponding letter in the table, then return to reading from the list. </t>
  </si>
  <si>
    <t xml:space="preserve">A.  </t>
  </si>
  <si>
    <t>Domestic work, apart from fetching water</t>
  </si>
  <si>
    <t>Fetching water</t>
  </si>
  <si>
    <t>C.</t>
  </si>
  <si>
    <t>Hunting</t>
  </si>
  <si>
    <t xml:space="preserve">D.  </t>
  </si>
  <si>
    <t>Digging in your own garden (including cash crops)</t>
  </si>
  <si>
    <t>Digging in someone else’s garden</t>
  </si>
  <si>
    <t xml:space="preserve">F.  </t>
  </si>
  <si>
    <t>Taking care of (raising) your own animals</t>
  </si>
  <si>
    <t>G.</t>
  </si>
  <si>
    <t>Collecting firewood or grass for yourself or sale</t>
  </si>
  <si>
    <t>H.</t>
  </si>
  <si>
    <t>Working for someone as a casual laborer</t>
  </si>
  <si>
    <t xml:space="preserve">I. </t>
  </si>
  <si>
    <t>Working as a formal employee for the government (incl. military)</t>
  </si>
  <si>
    <t xml:space="preserve">J. </t>
  </si>
  <si>
    <t>Working as a formal employee for somebody else (private firm, NGO, or religious organization) on regular basis</t>
  </si>
  <si>
    <t>K</t>
  </si>
  <si>
    <t>Working as a contractual employee or informal employee for somebody else (private firm, NGO, or religious organization)  on regular or semi-regular basis</t>
  </si>
  <si>
    <t xml:space="preserve">L.  </t>
  </si>
  <si>
    <t xml:space="preserve">M.   </t>
  </si>
  <si>
    <t>Working in your own business</t>
  </si>
  <si>
    <t xml:space="preserve">N. </t>
  </si>
  <si>
    <t>Occasionally selling  food, vegetables, or small items (not regular occurrence and not considering it a business)</t>
  </si>
  <si>
    <t xml:space="preserve">O. </t>
  </si>
  <si>
    <t>Working in a political position (LC1, etc.)</t>
  </si>
  <si>
    <t>Z.</t>
  </si>
  <si>
    <t>Have you done any other activity for money or trade that we have not mentioned in the past 7 days? If any, record activity here: _________________________</t>
  </si>
  <si>
    <t>P.</t>
  </si>
  <si>
    <t>Visiting a clinic, health center or doctor</t>
  </si>
  <si>
    <t>Q.</t>
  </si>
  <si>
    <t xml:space="preserve">Participated in vocational training </t>
  </si>
  <si>
    <t>R.</t>
  </si>
  <si>
    <t xml:space="preserve">Attended formal education </t>
  </si>
  <si>
    <t xml:space="preserve">S.   </t>
  </si>
  <si>
    <t>Searched for a job</t>
  </si>
  <si>
    <t xml:space="preserve">Y. </t>
  </si>
  <si>
    <t>Have you done any other activities that we have not mentioned in the past 7 days? If any, record activity here: _________________________</t>
  </si>
  <si>
    <t>X.</t>
  </si>
  <si>
    <t>None (bedridden)</t>
  </si>
  <si>
    <t>For any of the questions below, put -88 if "Refused", and -99 if "Don't Know"</t>
  </si>
  <si>
    <t>H.1</t>
  </si>
  <si>
    <t>H.2.</t>
  </si>
  <si>
    <t>H.3.</t>
  </si>
  <si>
    <t>H.4.</t>
  </si>
  <si>
    <r>
      <rPr>
        <sz val="10"/>
        <rFont val="Times New Roman"/>
        <family val="1"/>
      </rPr>
      <t>Activity</t>
    </r>
    <r>
      <rPr>
        <b/>
        <i/>
        <sz val="10"/>
        <rFont val="Times New Roman"/>
        <family val="1"/>
      </rPr>
      <t xml:space="preserve">
(Use letter code above)</t>
    </r>
  </si>
  <si>
    <r>
      <t xml:space="preserve">In the past 7 days, how many days did you spend on </t>
    </r>
    <r>
      <rPr>
        <b/>
        <sz val="10"/>
        <rFont val="Times New Roman"/>
        <family val="1"/>
      </rPr>
      <t>[say activity]</t>
    </r>
    <r>
      <rPr>
        <sz val="10"/>
        <rFont val="Times New Roman"/>
        <family val="1"/>
      </rPr>
      <t>?</t>
    </r>
  </si>
  <si>
    <r>
      <t xml:space="preserve">How many </t>
    </r>
    <r>
      <rPr>
        <u/>
        <sz val="10"/>
        <rFont val="Times New Roman"/>
        <family val="1"/>
      </rPr>
      <t>total hours per day</t>
    </r>
    <r>
      <rPr>
        <b/>
        <sz val="10"/>
        <rFont val="Times New Roman"/>
        <family val="1"/>
      </rPr>
      <t xml:space="preserve"> on average</t>
    </r>
    <r>
      <rPr>
        <sz val="10"/>
        <rFont val="Times New Roman"/>
        <family val="1"/>
      </rPr>
      <t xml:space="preserve"> did you spend on  </t>
    </r>
    <r>
      <rPr>
        <b/>
        <sz val="10"/>
        <rFont val="Times New Roman"/>
        <family val="1"/>
      </rPr>
      <t>[say activity]</t>
    </r>
    <r>
      <rPr>
        <sz val="10"/>
        <rFont val="Times New Roman"/>
        <family val="1"/>
      </rPr>
      <t xml:space="preserve"> on the days you did the activity?
</t>
    </r>
    <r>
      <rPr>
        <b/>
        <i/>
        <sz val="10"/>
        <rFont val="Times New Roman"/>
        <family val="1"/>
      </rPr>
      <t xml:space="preserve">If respondent struggles with activities performed multiple times a day, help them add up </t>
    </r>
  </si>
  <si>
    <r>
      <t xml:space="preserve">Do you ever receive any income from this activity, </t>
    </r>
    <r>
      <rPr>
        <b/>
        <sz val="10"/>
        <rFont val="Times New Roman"/>
        <family val="1"/>
      </rPr>
      <t>in money or goods?</t>
    </r>
  </si>
  <si>
    <t xml:space="preserve">Number of Days
</t>
  </si>
  <si>
    <t>HH:MM</t>
  </si>
  <si>
    <r>
      <t xml:space="preserve">1. Yes
2. No </t>
    </r>
    <r>
      <rPr>
        <b/>
        <sz val="10"/>
        <rFont val="Times New Roman"/>
        <family val="1"/>
      </rPr>
      <t>→ Next Activity</t>
    </r>
  </si>
  <si>
    <t>I</t>
  </si>
  <si>
    <t>(i)</t>
  </si>
  <si>
    <t xml:space="preserve"> |__|__|:|__|__|</t>
  </si>
  <si>
    <t>(ii)</t>
  </si>
  <si>
    <t>(iii)</t>
  </si>
  <si>
    <t>(iv)</t>
  </si>
  <si>
    <t>(v)</t>
  </si>
  <si>
    <t>(vi)</t>
  </si>
  <si>
    <t>(vii)</t>
  </si>
  <si>
    <t>(viii)</t>
  </si>
  <si>
    <t>(ix)</t>
  </si>
  <si>
    <t>(x)</t>
  </si>
  <si>
    <t xml:space="preserve">No. </t>
  </si>
  <si>
    <t xml:space="preserve">Coding Categories </t>
  </si>
  <si>
    <t xml:space="preserve"> </t>
  </si>
  <si>
    <t>a. Do you currently have any savings in a bank account (including microfinance)? Some examples of banks and microfinance institutions are Centenary, Post Bank, FINCA, and Pride.</t>
  </si>
  <si>
    <t>b. How much do you have saved with this bank/microfinance institution?</t>
  </si>
  <si>
    <r>
      <t xml:space="preserve">a. Do you currently have any savings in a SACCO? 
</t>
    </r>
    <r>
      <rPr>
        <b/>
        <i/>
        <sz val="10"/>
        <rFont val="Times New Roman"/>
        <family val="1"/>
      </rPr>
      <t>(A SACCO is a formal, registered savings group).</t>
    </r>
  </si>
  <si>
    <t>b. How much do you have saved with this SACCO?</t>
  </si>
  <si>
    <r>
      <t xml:space="preserve">a. Do you currently participate in a savings group or ASCA/VSLA?
</t>
    </r>
    <r>
      <rPr>
        <b/>
        <i/>
        <sz val="10"/>
        <rFont val="Times New Roman"/>
        <family val="1"/>
      </rPr>
      <t xml:space="preserve">(A VSLA is an informal village savings group). </t>
    </r>
  </si>
  <si>
    <t>b. How much do you have saved with this group?</t>
  </si>
  <si>
    <r>
      <t xml:space="preserve">How much money do you have saved in other locations, apart from banks, SACCO, VSLAs and other places we've already mentioned? Just to clarify, these savings do not have to be in a formal account or formal institution. They can be somewhere at home, hidden in a safe place, with a friend or a relative or in a mobile money account. This can be a small or large amount of money. 
Please remember that this interview is confidential and will be used only for research purposes. Your answer will not affect any kind of benefits.
</t>
    </r>
    <r>
      <rPr>
        <b/>
        <i/>
        <sz val="10"/>
        <rFont val="Times New Roman"/>
        <family val="1"/>
      </rPr>
      <t>(Please probe. If none, put 0)</t>
    </r>
  </si>
  <si>
    <t>I.</t>
  </si>
  <si>
    <t>Are you saving for a specific purpose?</t>
  </si>
  <si>
    <t>If yes, what are you saving for?
SELECT ALL THAT APPLY</t>
  </si>
  <si>
    <t xml:space="preserve">Start a business </t>
  </si>
  <si>
    <t>Invest in current business</t>
  </si>
  <si>
    <t>Invest in someone else's business</t>
  </si>
  <si>
    <t>Pay off a loan</t>
  </si>
  <si>
    <t>Loan to someone else</t>
  </si>
  <si>
    <t>School Fees/training</t>
  </si>
  <si>
    <t>Basic needs (Food, clothes, etc.)</t>
  </si>
  <si>
    <t>Emergencies</t>
  </si>
  <si>
    <t>Health/medical costs</t>
  </si>
  <si>
    <t>Home/property improvement</t>
  </si>
  <si>
    <t>Asset purchase</t>
  </si>
  <si>
    <t>Land purchase</t>
  </si>
  <si>
    <t>Leisure or luxury (e.g. travel, wedding costs)</t>
  </si>
  <si>
    <t>Other :________</t>
  </si>
  <si>
    <t>Read: Now I’d like to ask you some questions about your savings. Please remember, the amounts you report do not have to be big -- even if it is 1,000 please tell me. Remember that everything that you tell me in this interview is confidential and will not be passed on to anyone outside the research team.</t>
  </si>
  <si>
    <t>I'd now like to talk about gifts that you have given or received.</t>
  </si>
  <si>
    <t>a. In the last 3 weeks, did you or your household give  cash or in kind gift to someone outside the household?</t>
  </si>
  <si>
    <t>b. If yes. How much/ What was the value of the in-kind gift?</t>
  </si>
  <si>
    <t>for food?</t>
  </si>
  <si>
    <t>|__|,|__|__|__|,|__|__|__|  UGX</t>
  </si>
  <si>
    <t>K.</t>
  </si>
  <si>
    <t>for education?</t>
  </si>
  <si>
    <t>for health care?</t>
  </si>
  <si>
    <t>to support business?</t>
  </si>
  <si>
    <t>for other purposes or no specific purpose? (general spending)</t>
  </si>
  <si>
    <t>a. In the last 3 weeks, did you or your household receive any cash or in kind gift from someone outside the household? This can be from a person or an organization.</t>
  </si>
  <si>
    <t>|__|,|__|__|__|,|__|__|__| UGX
-88. Refused     -99. Don't know</t>
  </si>
  <si>
    <t>I. Savings</t>
  </si>
  <si>
    <t>Now, I would like to talk about money that you borrowed, also known as loans. We define loans as money you received that you have to repay. Loans can come from a formal source such as a bank or microfinance institution, or from an informal source such as a friend, relative or local savings group. These do not have to be big amounts -- even if it is just 1,000, please tell me. We want to talk about your loans, not of other people in your household, so please do not count those.</t>
  </si>
  <si>
    <t>How much money do you currently owe to:</t>
  </si>
  <si>
    <t>Relative or friend</t>
  </si>
  <si>
    <t>Put 0 if none</t>
  </si>
  <si>
    <t>Commercial Bank</t>
  </si>
  <si>
    <t>Savings group/cash box</t>
  </si>
  <si>
    <t>Microfinance agency</t>
  </si>
  <si>
    <t>Moneylender</t>
  </si>
  <si>
    <t>NGO or religious organization</t>
  </si>
  <si>
    <t>Repay an advance payment for future work</t>
  </si>
  <si>
    <t>School fees</t>
  </si>
  <si>
    <t>Landloard/Landowner</t>
  </si>
  <si>
    <t>Teleoperator (airtime loan)</t>
  </si>
  <si>
    <t>Anywhere else we have not mentioned (for example, workplace, borrowing airtime) 
OTHER: [_________________]</t>
  </si>
  <si>
    <t>Do you have any loans in-kind that you have not yet repaid, for example, a bag of millet that was borrowed?</t>
  </si>
  <si>
    <t>If you had to repay these loans in cash right now, how much would you have to pay?</t>
  </si>
  <si>
    <r>
      <t xml:space="preserve">
Question: Please list all of the people or places you borrowed any of money from in the past 3 weeks.
</t>
    </r>
    <r>
      <rPr>
        <i/>
        <sz val="10"/>
        <rFont val="Times New Roman"/>
        <family val="1"/>
      </rPr>
      <t xml:space="preserve">Instructions: Finish question 2- 10 for all loans that the respondent list (names) under question no.1. If a respondent has several loans from one and  the same person, number them. </t>
    </r>
  </si>
  <si>
    <t>SKIPS</t>
  </si>
  <si>
    <t>L</t>
  </si>
  <si>
    <t>Have you taken out any loans (borrowed money) in the past 3 weeks?</t>
  </si>
  <si>
    <r>
      <t>If no</t>
    </r>
    <r>
      <rPr>
        <sz val="10"/>
        <rFont val="Cambria"/>
        <family val="1"/>
      </rPr>
      <t>→L.11.</t>
    </r>
  </si>
  <si>
    <t>L.</t>
  </si>
  <si>
    <t>How many loans have you taken out in the past 3 weeks?</t>
  </si>
  <si>
    <t>NAME of source of the loan?</t>
  </si>
  <si>
    <t>Name:____________________________</t>
  </si>
  <si>
    <t>How is the person/ institution you that borrowed money from related to you? 
INSTRUCTIONS: Fill in the following sentence: "The respondent is borrowing from his/her/a: _______."</t>
  </si>
  <si>
    <t>Lending Institution/ A bank</t>
  </si>
  <si>
    <t xml:space="preserve">Saving/ loan group </t>
  </si>
  <si>
    <t>Community Group</t>
  </si>
  <si>
    <t>Neighbor</t>
  </si>
  <si>
    <t>Employer/ Employee</t>
  </si>
  <si>
    <t>Other [___________]</t>
  </si>
  <si>
    <r>
      <t>How much did you borrow from [</t>
    </r>
    <r>
      <rPr>
        <i/>
        <sz val="10"/>
        <rFont val="Times New Roman"/>
        <family val="1"/>
      </rPr>
      <t>Name of source of loan</t>
    </r>
    <r>
      <rPr>
        <sz val="10"/>
        <rFont val="Times New Roman"/>
        <family val="1"/>
      </rPr>
      <t xml:space="preserve">]? </t>
    </r>
  </si>
  <si>
    <t>|__|,|__|__|__|,|__|__|__| UGX
-88. Refused         -99. Don't know</t>
  </si>
  <si>
    <t>Did you or will you have to pay back more money than you borrowed?</t>
  </si>
  <si>
    <r>
      <t xml:space="preserve">What is the main thing that you used the money from </t>
    </r>
    <r>
      <rPr>
        <i/>
        <sz val="10"/>
        <rFont val="Times New Roman"/>
        <family val="1"/>
      </rPr>
      <t>(Name of source of loan</t>
    </r>
    <r>
      <rPr>
        <sz val="10"/>
        <rFont val="Times New Roman"/>
        <family val="1"/>
      </rPr>
      <t>) for?</t>
    </r>
  </si>
  <si>
    <t>Pay for emergency (not health related)</t>
  </si>
  <si>
    <t xml:space="preserve">Invest in own business or farm </t>
  </si>
  <si>
    <t>Invest in other’s business or farm</t>
  </si>
  <si>
    <t xml:space="preserve">Education </t>
  </si>
  <si>
    <t xml:space="preserve">Health </t>
  </si>
  <si>
    <t xml:space="preserve"> Buying non-essential things (luxury or enjoyment)</t>
  </si>
  <si>
    <t>Basic needs (food or shelter)</t>
  </si>
  <si>
    <t xml:space="preserve">Transport </t>
  </si>
  <si>
    <t>Re-pay debt</t>
  </si>
  <si>
    <t>a. Did you re-pay all or part of this debt in the past three weeks?</t>
  </si>
  <si>
    <r>
      <t xml:space="preserve">If No </t>
    </r>
    <r>
      <rPr>
        <sz val="10"/>
        <rFont val="Cambria"/>
        <family val="1"/>
      </rPr>
      <t>→</t>
    </r>
    <r>
      <rPr>
        <sz val="10"/>
        <rFont val="Times New Roman"/>
        <family val="1"/>
      </rPr>
      <t>next debt</t>
    </r>
  </si>
  <si>
    <t>b. If yes,  how much did you re-pay?</t>
  </si>
  <si>
    <t>|__||__|,|__|__|__|,|__|__|__| UGX
-88. Refused         -99. Don't know</t>
  </si>
  <si>
    <t>How much money do you still need to pay back to (Name of source of loan)?</t>
  </si>
  <si>
    <t>a. In the last 3 weeks, did you re-pay any loans (a whole loan or part of a loan) that we have not yet talked about?</t>
  </si>
  <si>
    <r>
      <t xml:space="preserve">If No </t>
    </r>
    <r>
      <rPr>
        <sz val="10"/>
        <rFont val="Cambria"/>
        <family val="1"/>
      </rPr>
      <t>→</t>
    </r>
    <r>
      <rPr>
        <sz val="10"/>
        <rFont val="Times New Roman"/>
        <family val="1"/>
      </rPr>
      <t>next sect.</t>
    </r>
  </si>
  <si>
    <t>b. If yes,  how much did you re-pay in total on these loans?</t>
  </si>
  <si>
    <t>M.</t>
  </si>
  <si>
    <t>1.a</t>
  </si>
  <si>
    <t xml:space="preserve"> In the past 3 weeks, have you given a loan to anybody, with the expectation that they pay you back? </t>
  </si>
  <si>
    <t xml:space="preserve">If no, skip module </t>
  </si>
  <si>
    <t>1.b</t>
  </si>
  <si>
    <t>How many loans have you given out in the past 3 weeks?</t>
  </si>
  <si>
    <r>
      <t xml:space="preserve">
Question: Please list all of the people or places you lend any money to in the past 3 weeks.
</t>
    </r>
    <r>
      <rPr>
        <i/>
        <sz val="10"/>
        <rFont val="Times New Roman"/>
        <family val="1"/>
      </rPr>
      <t xml:space="preserve">Instructions: Finish question 2- 8 for all loans that the respondent list (names) under question no.1. If a respondent has given several loans to the same person, number them. </t>
    </r>
  </si>
  <si>
    <t xml:space="preserve">NAME of borrower </t>
  </si>
  <si>
    <t>How is the person you lend money  related to you? 
INSTRUCTIONS: Fill in the following sentence: "The person borrowing is the respondent's _______ ."</t>
  </si>
  <si>
    <t>Customer</t>
  </si>
  <si>
    <t>Other: [________________]</t>
  </si>
  <si>
    <t>How much did you lend to (name of borrower)?</t>
  </si>
  <si>
    <r>
      <t>Did  or will (</t>
    </r>
    <r>
      <rPr>
        <i/>
        <sz val="10"/>
        <rFont val="Times New Roman"/>
        <family val="1"/>
      </rPr>
      <t>name of borrower)</t>
    </r>
    <r>
      <rPr>
        <sz val="10"/>
        <rFont val="Times New Roman"/>
        <family val="1"/>
      </rPr>
      <t xml:space="preserve"> pay back more money than they borrowed?</t>
    </r>
  </si>
  <si>
    <r>
      <t>How much money are you still waiting to receive back from (</t>
    </r>
    <r>
      <rPr>
        <i/>
        <sz val="10"/>
        <rFont val="Times New Roman"/>
        <family val="1"/>
      </rPr>
      <t>name of borrower)</t>
    </r>
  </si>
  <si>
    <t>J. FOOD SECURITY</t>
  </si>
  <si>
    <t>Read: Now I’d like to ask you some questions about your food intake. It is very important for us to understand if your household experience any food shortages.
Please remember that your answers will not affect any assistance you or this community may receive.</t>
  </si>
  <si>
    <t>J.</t>
  </si>
  <si>
    <t>1.a.</t>
  </si>
  <si>
    <t>In the past 4 weeks, was there ever no food to eat of any kind in your house because of lack of money or  resources to get food?</t>
  </si>
  <si>
    <t>j1_nofood</t>
  </si>
  <si>
    <t>1.b.</t>
  </si>
  <si>
    <t>How often did this happen in the past 4 weeks?</t>
  </si>
  <si>
    <t>Rarely (1-2 times)</t>
  </si>
  <si>
    <t>j1_nofood_freq</t>
  </si>
  <si>
    <t>Sometimes (3-10 times)</t>
  </si>
  <si>
    <t>Often (more than 10 times)</t>
  </si>
  <si>
    <r>
      <t>In the past 4 weeks, did you or any household member go to sleep at night hungry because there was not enough food? [</t>
    </r>
    <r>
      <rPr>
        <b/>
        <sz val="10"/>
        <rFont val="Times New Roman"/>
        <family val="1"/>
      </rPr>
      <t>This can be because they did not eat at all or because they did not eat enough.]</t>
    </r>
  </si>
  <si>
    <t>j2_sleephungry</t>
  </si>
  <si>
    <t>j2_sleephungry_freq</t>
  </si>
  <si>
    <t>In the past 4 weeks, did you or any household member go a whole day and night without eating anything at all because there was not enough food?</t>
  </si>
  <si>
    <t>j3_full_hunger</t>
  </si>
  <si>
    <t>4.a.</t>
  </si>
  <si>
    <t>j3_full_hunger_freq</t>
  </si>
  <si>
    <t>Now I want to ask you about your medication. How many times a day [within 24 hours] are you supposed to take your ART pills?</t>
  </si>
  <si>
    <t>|__|__|</t>
  </si>
  <si>
    <t>j4a_numpills</t>
  </si>
  <si>
    <t>4.b.</t>
  </si>
  <si>
    <t>How many times in the last 3 days did you miss taking one of your ART pills?</t>
  </si>
  <si>
    <t>j4b_misspill</t>
  </si>
  <si>
    <t xml:space="preserve">DO NOT READ: If anybody besides the respondent is present at the interview, please politely explain that the interview is private and confidential, and ask them to leave. </t>
  </si>
  <si>
    <t>0.a.</t>
  </si>
  <si>
    <r>
      <rPr>
        <b/>
        <sz val="10"/>
        <color indexed="8"/>
        <rFont val="Times New Roman"/>
        <family val="1"/>
      </rPr>
      <t xml:space="preserve">DO NOT READ: </t>
    </r>
    <r>
      <rPr>
        <sz val="10"/>
        <color indexed="8"/>
        <rFont val="Times New Roman"/>
        <family val="1"/>
      </rPr>
      <t xml:space="preserve">Is the interview being conducted with the interviewee alone (excepting survey staff)? 
</t>
    </r>
    <r>
      <rPr>
        <b/>
        <i/>
        <sz val="11"/>
        <color rgb="FF000000"/>
        <rFont val="Calibri"/>
        <family val="2"/>
        <scheme val="minor"/>
      </rPr>
      <t/>
    </r>
  </si>
  <si>
    <t>1: Yes 
2: No</t>
  </si>
  <si>
    <r>
      <t xml:space="preserve">Read: </t>
    </r>
    <r>
      <rPr>
        <sz val="10"/>
        <rFont val="Times New Roman"/>
        <family val="1"/>
      </rPr>
      <t>Now I would like to ask you some questions about sexual activity in order to gain a better understanding of some important life issues. Let me assure you again that your answers are completely confidential and will not be told to anyone, including TASO staff. We understand that this is sensitive information, so if we should come to any questions that you don't want to answer, just let me know and we will go to the next question or the next section.</t>
    </r>
  </si>
  <si>
    <t>0.b.</t>
  </si>
  <si>
    <t>May I proceed with the questions?</t>
  </si>
  <si>
    <t>Next section</t>
  </si>
  <si>
    <r>
      <t xml:space="preserve">When was the last time you had sexual intercourse?
</t>
    </r>
    <r>
      <rPr>
        <b/>
        <sz val="10"/>
        <rFont val="Times New Roman"/>
        <family val="1"/>
      </rPr>
      <t>If less than 12 months, answer must be recorder in days, weeks, or months
If 12 months (1 year) or more, answer must be recorded in years</t>
    </r>
  </si>
  <si>
    <t xml:space="preserve">     a) Days ago:       |__|__| </t>
  </si>
  <si>
    <t xml:space="preserve">     b) Weeks ago:    |__|__| </t>
  </si>
  <si>
    <t xml:space="preserve">     c) Months ago:  |__|__| </t>
  </si>
  <si>
    <t>If 1 year or more</t>
  </si>
  <si>
    <t xml:space="preserve">     d) Years ago:      |__|__| </t>
  </si>
  <si>
    <r>
      <t xml:space="preserve">The </t>
    </r>
    <r>
      <rPr>
        <u/>
        <sz val="10"/>
        <rFont val="Times New Roman"/>
        <family val="1"/>
      </rPr>
      <t>last</t>
    </r>
    <r>
      <rPr>
        <sz val="10"/>
        <rFont val="Times New Roman"/>
        <family val="1"/>
      </rPr>
      <t xml:space="preserve"> time you had sexual intercourse, was a condom used?</t>
    </r>
  </si>
  <si>
    <t>How often did you use a condom when you had sexual intercourse in the last 12 months?</t>
  </si>
  <si>
    <t>Always</t>
  </si>
  <si>
    <t>Often</t>
  </si>
  <si>
    <t>Sometimes</t>
  </si>
  <si>
    <t>Rarely</t>
  </si>
  <si>
    <t>Never</t>
  </si>
  <si>
    <t xml:space="preserve">How many sexual partners have you had in the last 12 months?
</t>
  </si>
  <si>
    <t xml:space="preserve">Number of partners:   |__|__| </t>
  </si>
  <si>
    <t>How many sexual partners have you had in your life?</t>
  </si>
  <si>
    <t>Number of partners:   |__|__|</t>
  </si>
  <si>
    <t>N</t>
  </si>
  <si>
    <t>Time Finished (use 12 hour clock)</t>
  </si>
  <si>
    <t>HH: |__|__|  MM: |__|__|  AM / PM</t>
  </si>
  <si>
    <t>Did respondent receive in-kind gift?</t>
  </si>
  <si>
    <t>Yes → Make sure respondent signs for the gift</t>
  </si>
  <si>
    <r>
      <rPr>
        <b/>
        <i/>
        <sz val="10"/>
        <rFont val="Times New Roman"/>
        <family val="1"/>
      </rPr>
      <t>Do not read aloud:</t>
    </r>
    <r>
      <rPr>
        <sz val="10"/>
        <rFont val="Times New Roman"/>
        <family val="1"/>
      </rPr>
      <t xml:space="preserve"> How would you assess the respondent's physical state at the end of the interview, compared to their state when the interview began?</t>
    </r>
  </si>
  <si>
    <t>Not tired or only slightly more tired than at the beginning</t>
  </si>
  <si>
    <t>Visibly more tired/sick</t>
  </si>
  <si>
    <t>Had to stop or pause interview because respondent significantly sick</t>
  </si>
  <si>
    <r>
      <rPr>
        <b/>
        <i/>
        <sz val="10"/>
        <rFont val="Times New Roman"/>
        <family val="1"/>
      </rPr>
      <t xml:space="preserve">Do not read aloud: </t>
    </r>
    <r>
      <rPr>
        <sz val="10"/>
        <rFont val="Times New Roman"/>
        <family val="1"/>
      </rPr>
      <t>Are you suspicious that this person was intoxicated during this interview?</t>
    </r>
  </si>
  <si>
    <t>No, completely sober</t>
  </si>
  <si>
    <t>A little bit intoxicated</t>
  </si>
  <si>
    <t>Somewhat intoxicated</t>
  </si>
  <si>
    <t>Totally intoxicated</t>
  </si>
  <si>
    <r>
      <rPr>
        <b/>
        <i/>
        <sz val="10"/>
        <rFont val="Times New Roman"/>
        <family val="1"/>
      </rPr>
      <t xml:space="preserve">Do not read aloud: </t>
    </r>
    <r>
      <rPr>
        <sz val="10"/>
        <rFont val="Times New Roman"/>
        <family val="1"/>
      </rPr>
      <t>How did this person’s thought process appear to you during the survey?</t>
    </r>
  </si>
  <si>
    <t>Logical and sensible</t>
  </si>
  <si>
    <t>A little unclear or confused</t>
  </si>
  <si>
    <t>Several times unclear or insensible</t>
  </si>
  <si>
    <t>Totally unclear or disoriented</t>
  </si>
  <si>
    <r>
      <rPr>
        <b/>
        <i/>
        <sz val="10"/>
        <rFont val="Times New Roman"/>
        <family val="1"/>
      </rPr>
      <t xml:space="preserve">Do not read aloud: </t>
    </r>
    <r>
      <rPr>
        <sz val="10"/>
        <rFont val="Times New Roman"/>
        <family val="1"/>
      </rPr>
      <t>How did this person’s emotional state appear to you during the survey?</t>
    </r>
  </si>
  <si>
    <t>Emotionally stable throughout interview</t>
  </si>
  <si>
    <t>Mostly stable but somewhat unstable at points</t>
  </si>
  <si>
    <t>Very emotional at times or throughout entire interview</t>
  </si>
  <si>
    <t>Showed inappropriate emotions (i.e., laughed when talking about atrocities)</t>
  </si>
  <si>
    <t>Showed no emotion at all</t>
  </si>
  <si>
    <t>Someone from the household/village/community</t>
  </si>
  <si>
    <t>Field Manager</t>
  </si>
  <si>
    <t>PA</t>
  </si>
  <si>
    <t>Other team member</t>
  </si>
  <si>
    <r>
      <t>Other (</t>
    </r>
    <r>
      <rPr>
        <sz val="8"/>
        <rFont val="Times New Roman"/>
        <family val="1"/>
      </rPr>
      <t>SPECIFY TITLE/RELATIONSHIP</t>
    </r>
    <r>
      <rPr>
        <sz val="10"/>
        <rFont val="Times New Roman"/>
        <family val="1"/>
      </rPr>
      <t>): [_________________________________]</t>
    </r>
  </si>
  <si>
    <t>If non-team members were present (i.e. someone from hh or community, why did the survey continue and the person was not evicted?</t>
  </si>
  <si>
    <t>Enumerator comments</t>
  </si>
  <si>
    <t>N.</t>
  </si>
  <si>
    <t xml:space="preserve">GPS Coordinates: </t>
  </si>
  <si>
    <t>N________________E__________________</t>
  </si>
  <si>
    <t>QUESTIONS (A)</t>
  </si>
  <si>
    <t>QUESTIONS (B)</t>
  </si>
  <si>
    <t>Thank you for doing this interview with me. I will start by asking about some basic information about you.</t>
  </si>
  <si>
    <t>Proceed with survey ONLY after reading/signing the Informed Consent.</t>
  </si>
  <si>
    <t>→ end survey</t>
  </si>
  <si>
    <t>A</t>
  </si>
  <si>
    <t>Interview site</t>
  </si>
  <si>
    <t>Ateso</t>
  </si>
  <si>
    <t>Runyoro</t>
  </si>
  <si>
    <t>Luo</t>
  </si>
  <si>
    <t xml:space="preserve">Acholi </t>
  </si>
  <si>
    <t xml:space="preserve">Langi </t>
  </si>
  <si>
    <t xml:space="preserve">Alur </t>
  </si>
  <si>
    <t xml:space="preserve">English </t>
  </si>
  <si>
    <t>Swahili</t>
  </si>
  <si>
    <t>Luganda</t>
  </si>
  <si>
    <t>Runyankole</t>
  </si>
  <si>
    <t>Other (use code)</t>
  </si>
  <si>
    <t xml:space="preserve">not required </t>
  </si>
  <si>
    <t>Is the location information (village, parish, etc.) given on the tracking sheet accurate?</t>
  </si>
  <si>
    <t>If Yes→ A.18</t>
  </si>
  <si>
    <t xml:space="preserve">Are the directions to the respondent's household given in the tracking sheet accurate? </t>
  </si>
  <si>
    <t>If No→ Record corrected directions on the tracking sheet</t>
  </si>
  <si>
    <t>Respondent</t>
  </si>
  <si>
    <t>→ A. 22</t>
  </si>
  <si>
    <t>Spouse</t>
  </si>
  <si>
    <t xml:space="preserve">Another person within the household </t>
  </si>
  <si>
    <t>Another person outside the household</t>
  </si>
  <si>
    <t>A.</t>
  </si>
  <si>
    <t xml:space="preserve">→ If suspicious, call TL and explain why you are suspicious. The TL will instruct you on next steps. </t>
  </si>
  <si>
    <t>→ If no, stop survey and consult your team leader</t>
  </si>
  <si>
    <t>No, other: [__________]</t>
  </si>
  <si>
    <r>
      <t xml:space="preserve">Do not read: </t>
    </r>
    <r>
      <rPr>
        <sz val="10"/>
        <rFont val="Times New Roman"/>
        <family val="1"/>
      </rPr>
      <t xml:space="preserve"> Is the interview being conducted with the interviewee alone (excepting survey staff)? (</t>
    </r>
    <r>
      <rPr>
        <b/>
        <sz val="10"/>
        <rFont val="Times New Roman"/>
        <family val="1"/>
      </rPr>
      <t>Children who are too young to understand the conversation can remain. All other children and adults must be asked to leave.)</t>
    </r>
  </si>
  <si>
    <t>→ End survey and inform your TL</t>
  </si>
  <si>
    <t>Yes, I am from or I live in the same sub county</t>
  </si>
  <si>
    <r>
      <rPr>
        <b/>
        <sz val="10"/>
        <rFont val="Times New Roman"/>
        <family val="1"/>
      </rPr>
      <t>a.</t>
    </r>
    <r>
      <rPr>
        <sz val="10"/>
        <rFont val="Times New Roman"/>
        <family val="1"/>
      </rPr>
      <t xml:space="preserve"> Specify name of owner, if not the respondent him/her self.</t>
    </r>
  </si>
  <si>
    <r>
      <rPr>
        <b/>
        <sz val="10"/>
        <rFont val="Times New Roman"/>
        <family val="1"/>
      </rPr>
      <t>b.</t>
    </r>
    <r>
      <rPr>
        <sz val="10"/>
        <rFont val="Times New Roman"/>
        <family val="1"/>
      </rPr>
      <t xml:space="preserve"> Does this person know that you belong to TASO?</t>
    </r>
  </si>
  <si>
    <t>→ If no,  ask to be allowed to interview the respondent alone. Stress that the interview is private and confidential. Refer the case to the TL if this is problematic.</t>
  </si>
  <si>
    <t>→ Stop survey and consult your TL</t>
  </si>
  <si>
    <r>
      <t xml:space="preserve"> DD: </t>
    </r>
    <r>
      <rPr>
        <sz val="11"/>
        <color indexed="8"/>
        <rFont val="Arial Narrow"/>
        <family val="2"/>
      </rPr>
      <t>|__|__|</t>
    </r>
    <r>
      <rPr>
        <sz val="10"/>
        <color indexed="8"/>
        <rFont val="Arial Narrow"/>
        <family val="2"/>
      </rPr>
      <t xml:space="preserve"> MM: </t>
    </r>
    <r>
      <rPr>
        <sz val="11"/>
        <color indexed="8"/>
        <rFont val="Arial Narrow"/>
        <family val="2"/>
      </rPr>
      <t xml:space="preserve">|__|__|                                   </t>
    </r>
    <r>
      <rPr>
        <sz val="10"/>
        <color indexed="8"/>
        <rFont val="Arial Narrow"/>
        <family val="2"/>
      </rPr>
      <t xml:space="preserve">YYYY: </t>
    </r>
    <r>
      <rPr>
        <sz val="11"/>
        <color indexed="8"/>
        <rFont val="Arial Narrow"/>
        <family val="2"/>
      </rPr>
      <t>|__|__|__|__|</t>
    </r>
  </si>
  <si>
    <t>L1</t>
  </si>
  <si>
    <t xml:space="preserve">var names </t>
  </si>
  <si>
    <t>a1_date</t>
  </si>
  <si>
    <t>a3_site</t>
  </si>
  <si>
    <t>a4_language</t>
  </si>
  <si>
    <t>a5_surname</t>
  </si>
  <si>
    <t>a6_firstname</t>
  </si>
  <si>
    <t>a7_othername</t>
  </si>
  <si>
    <t>a8_nickname</t>
  </si>
  <si>
    <t>a9_fo_name</t>
  </si>
  <si>
    <t>a10_fo_code</t>
  </si>
  <si>
    <t>a11_tl_name</t>
  </si>
  <si>
    <t>a11_tl_code</t>
  </si>
  <si>
    <t>a13_tl_present</t>
  </si>
  <si>
    <t>a14_locationinfo</t>
  </si>
  <si>
    <t>a14_district</t>
  </si>
  <si>
    <t>a15_county</t>
  </si>
  <si>
    <t>a16_subcounty</t>
  </si>
  <si>
    <t>a17_parish</t>
  </si>
  <si>
    <t>a18_village</t>
  </si>
  <si>
    <t>a19_lc1</t>
  </si>
  <si>
    <t>a21_directions</t>
  </si>
  <si>
    <t>a20_cddp</t>
  </si>
  <si>
    <t>a22_phone</t>
  </si>
  <si>
    <t>a23_phone_owner</t>
  </si>
  <si>
    <t>a23_phone_own_spec</t>
  </si>
  <si>
    <t>a21_taso</t>
  </si>
  <si>
    <t>a28_suspicious</t>
  </si>
  <si>
    <t>a29_capable</t>
  </si>
  <si>
    <t>a30_privacy</t>
  </si>
  <si>
    <t>a31_fo_knowsresp</t>
  </si>
  <si>
    <t>a32_fo_sameloc</t>
  </si>
  <si>
    <t>Enter the date of the survey</t>
  </si>
  <si>
    <t>b1_gender</t>
  </si>
  <si>
    <t>b2_age</t>
  </si>
  <si>
    <t>b2_age_approx</t>
  </si>
  <si>
    <t>b3_dob_know</t>
  </si>
  <si>
    <t>b3_dob</t>
  </si>
  <si>
    <t>b3_year</t>
  </si>
  <si>
    <t>b4_tribe</t>
  </si>
  <si>
    <t>b5_religion</t>
  </si>
  <si>
    <t>b6_marital</t>
  </si>
  <si>
    <t>e1_rooms</t>
  </si>
  <si>
    <t>e2_house_owner</t>
  </si>
  <si>
    <t>e3_roof</t>
  </si>
  <si>
    <t>e4_walls</t>
  </si>
  <si>
    <t>e5_floor</t>
  </si>
  <si>
    <t>e6_lighting</t>
  </si>
  <si>
    <t>e7_toilet</t>
  </si>
  <si>
    <t>e8_share_toilet</t>
  </si>
  <si>
    <t>e9_water</t>
  </si>
  <si>
    <t>e10_water_time</t>
  </si>
  <si>
    <t>e10_water_time_hr</t>
  </si>
  <si>
    <t>e10_water_time_mn</t>
  </si>
  <si>
    <t>e11_land_access</t>
  </si>
  <si>
    <t>e12_land_own</t>
  </si>
  <si>
    <t>e13_land_rent</t>
  </si>
  <si>
    <t>e14_land_borrow</t>
  </si>
  <si>
    <t>e15_land_squat</t>
  </si>
  <si>
    <t>e_module_assets</t>
  </si>
  <si>
    <t>e16_cattle</t>
  </si>
  <si>
    <t>e17_goats</t>
  </si>
  <si>
    <t>e18_donkeys</t>
  </si>
  <si>
    <t>e19_pigs</t>
  </si>
  <si>
    <t>e20_poultry</t>
  </si>
  <si>
    <t>e21_phone</t>
  </si>
  <si>
    <t>e22_radio</t>
  </si>
  <si>
    <t>e23_tv</t>
  </si>
  <si>
    <t>e24_bicycle</t>
  </si>
  <si>
    <t>e25_motorcycle</t>
  </si>
  <si>
    <t>e26_car</t>
  </si>
  <si>
    <t>e27_clothes</t>
  </si>
  <si>
    <t>e28_shoes</t>
  </si>
  <si>
    <t>d23_chd_surname</t>
  </si>
  <si>
    <t>d24_chd_fstname</t>
  </si>
  <si>
    <t>d25_chd_relation</t>
  </si>
  <si>
    <t>d26_chd_gender</t>
  </si>
  <si>
    <t>d27_chd_age</t>
  </si>
  <si>
    <t>d28_chd_educ</t>
  </si>
  <si>
    <t>d29_chd_enrolled</t>
  </si>
  <si>
    <t>d30_chd_schtype</t>
  </si>
  <si>
    <t>D.24. First and Other Names of child</t>
  </si>
  <si>
    <t>c1_inhh_cereals</t>
  </si>
  <si>
    <t>c1_inhh_cereals_days</t>
  </si>
  <si>
    <t>c2_inhh_roots</t>
  </si>
  <si>
    <t>c2_inhh_roots_days</t>
  </si>
  <si>
    <t>c3_inhh_nuts</t>
  </si>
  <si>
    <t>c3_inhh_nuts_days</t>
  </si>
  <si>
    <t>c4_inhh_vegetables</t>
  </si>
  <si>
    <t>c4_inhh_veg_days</t>
  </si>
  <si>
    <t>c5_inhh_meat</t>
  </si>
  <si>
    <t>c5_inhh_meat_days</t>
  </si>
  <si>
    <t>c6_inhh_fruits</t>
  </si>
  <si>
    <t>c6_inhh_fruit_days</t>
  </si>
  <si>
    <t>c7_inhh_milk</t>
  </si>
  <si>
    <t>c7_inhh_milk_days</t>
  </si>
  <si>
    <t>c8_inhh_fats</t>
  </si>
  <si>
    <t>c8_inhh_fat_days</t>
  </si>
  <si>
    <t>c9_inhh_sugar</t>
  </si>
  <si>
    <t>c9_inhh_sugar_days</t>
  </si>
  <si>
    <t>c10_inhh_spices</t>
  </si>
  <si>
    <t>c10_inhh_spice_days</t>
  </si>
  <si>
    <t>c11_inhh_soda</t>
  </si>
  <si>
    <t>c11_inhh_soad_days</t>
  </si>
  <si>
    <t>c12_inhh_wine</t>
  </si>
  <si>
    <t>c12_inhh_wine_days</t>
  </si>
  <si>
    <t>c13_outhh_fullmeal</t>
  </si>
  <si>
    <t>c13_outhh_mealcost</t>
  </si>
  <si>
    <t>c14_outhh_roastshack</t>
  </si>
  <si>
    <t>c14_outhh_roastcost</t>
  </si>
  <si>
    <t>c15_outhh_hotelsnacks</t>
  </si>
  <si>
    <t>c15_outhh_hotelcost</t>
  </si>
  <si>
    <t>c16_outhh_nonalc</t>
  </si>
  <si>
    <t>c16_outhh_nonalccost</t>
  </si>
  <si>
    <t>c17_outhh_alc</t>
  </si>
  <si>
    <t>c17_outhh_alccost</t>
  </si>
  <si>
    <t>c18_outhh_sweets</t>
  </si>
  <si>
    <t>c18_outhh_sweetcost</t>
  </si>
  <si>
    <t>var names</t>
  </si>
  <si>
    <t>E9</t>
  </si>
  <si>
    <t>E11</t>
  </si>
  <si>
    <t xml:space="preserve">Var names </t>
  </si>
  <si>
    <t>d1_monthrent</t>
  </si>
  <si>
    <t>d2_monthwater</t>
  </si>
  <si>
    <t>d3_monthelectr</t>
  </si>
  <si>
    <t>d4_rent</t>
  </si>
  <si>
    <t>d5_water</t>
  </si>
  <si>
    <t>d6_electr_amt</t>
  </si>
  <si>
    <t>d7_charcoal</t>
  </si>
  <si>
    <t>d7_charcoal_amt</t>
  </si>
  <si>
    <t>d8_gas_amt</t>
  </si>
  <si>
    <t>d9_transport_amt</t>
  </si>
  <si>
    <t>d10_fuel_amt</t>
  </si>
  <si>
    <t>d11_cigarettes_amt</t>
  </si>
  <si>
    <t>d12_soap_amt</t>
  </si>
  <si>
    <t>d13_toiletpap_amt</t>
  </si>
  <si>
    <t>d14_cosmetic_amt</t>
  </si>
  <si>
    <t>d15_hhcleaning_amt</t>
  </si>
  <si>
    <t>d16_homerepair_amt</t>
  </si>
  <si>
    <t>d17_itemrepair_amt</t>
  </si>
  <si>
    <t>d18_donations_amt</t>
  </si>
  <si>
    <t>d19_funeral_amt</t>
  </si>
  <si>
    <t>d20_newspaper_amt</t>
  </si>
  <si>
    <t>d21_airtime_amt</t>
  </si>
  <si>
    <t>d22_internet_amt</t>
  </si>
  <si>
    <t>d23a_healthresp</t>
  </si>
  <si>
    <t>d24b_healthotherspdt</t>
  </si>
  <si>
    <t>d25_school_amt</t>
  </si>
  <si>
    <t>d26_training_amt</t>
  </si>
  <si>
    <t>d27_ag_amt</t>
  </si>
  <si>
    <t>d28_itm</t>
  </si>
  <si>
    <t>d28_itmamt</t>
  </si>
  <si>
    <t>i16_bank_save</t>
  </si>
  <si>
    <t>i16_bank_amt</t>
  </si>
  <si>
    <t>i17_sacco_save</t>
  </si>
  <si>
    <t>i17_sacco_amt</t>
  </si>
  <si>
    <t>i18_vsla_save</t>
  </si>
  <si>
    <t>i18_vsla_amt</t>
  </si>
  <si>
    <t>i19_save_oth_amt</t>
  </si>
  <si>
    <t>i20_purposeyn</t>
  </si>
  <si>
    <t>i21_purpose</t>
  </si>
  <si>
    <t>k1_g_food</t>
  </si>
  <si>
    <t>k1_g_food_amt</t>
  </si>
  <si>
    <t>k2_g_edu</t>
  </si>
  <si>
    <t>k2_g_edu_amt</t>
  </si>
  <si>
    <t>k3_g_health</t>
  </si>
  <si>
    <t>k3_g_health_amt</t>
  </si>
  <si>
    <t>k4_g_bus</t>
  </si>
  <si>
    <t>k4_g_bus_amt</t>
  </si>
  <si>
    <t>k5_g_gen</t>
  </si>
  <si>
    <t>k5_g_gen_amt</t>
  </si>
  <si>
    <t>k6_r_food</t>
  </si>
  <si>
    <t>k6_r_food_amt</t>
  </si>
  <si>
    <t>k7_r_edu</t>
  </si>
  <si>
    <t>k7_r_edu_amt</t>
  </si>
  <si>
    <t>k8_r_health</t>
  </si>
  <si>
    <t>k8_r_health_amt</t>
  </si>
  <si>
    <t>k9_r_bus</t>
  </si>
  <si>
    <t>k9_r_bus_amt</t>
  </si>
  <si>
    <t>k10_r_gen</t>
  </si>
  <si>
    <t>k10_r_gen_amt</t>
  </si>
  <si>
    <t>i1_owe_relative</t>
  </si>
  <si>
    <t>i2_owe_bank</t>
  </si>
  <si>
    <t>i3_owe_savgroup</t>
  </si>
  <si>
    <t>i4_owe_microfin</t>
  </si>
  <si>
    <t>i5_owe_lender</t>
  </si>
  <si>
    <t>i6_owe_ngo</t>
  </si>
  <si>
    <t>i7_owe_advance</t>
  </si>
  <si>
    <t>i8_owe_schfees</t>
  </si>
  <si>
    <t>i12_owe_landlord</t>
  </si>
  <si>
    <t>i13_owe_teleoperator</t>
  </si>
  <si>
    <t>i9_owe_oth</t>
  </si>
  <si>
    <t>i9_owe_oth_specify</t>
  </si>
  <si>
    <t>i9_owe_oth_amt</t>
  </si>
  <si>
    <t>i10_inkind_loan</t>
  </si>
  <si>
    <t>i11_inkind_equiv</t>
  </si>
  <si>
    <t>l1_loanyn</t>
  </si>
  <si>
    <t>l2_loannum</t>
  </si>
  <si>
    <t>l3_name</t>
  </si>
  <si>
    <t>l4_relation</t>
  </si>
  <si>
    <t>l5_amt</t>
  </si>
  <si>
    <t>l6_interest</t>
  </si>
  <si>
    <t>l7_purpose</t>
  </si>
  <si>
    <t>l8_repay</t>
  </si>
  <si>
    <t>l9_repayqty</t>
  </si>
  <si>
    <t>l10_remain</t>
  </si>
  <si>
    <t>l11_repay</t>
  </si>
  <si>
    <t>l12_repay_amt</t>
  </si>
  <si>
    <t>m1a_lend</t>
  </si>
  <si>
    <t>m1b_lend_num</t>
  </si>
  <si>
    <t>m2_name</t>
  </si>
  <si>
    <t>m3_relation</t>
  </si>
  <si>
    <t>m4_amt</t>
  </si>
  <si>
    <t>m5_interest</t>
  </si>
  <si>
    <t>m6_remain</t>
  </si>
  <si>
    <t>module_sexual2</t>
  </si>
  <si>
    <t>module_sexual1</t>
  </si>
  <si>
    <t>l3_lastinter</t>
  </si>
  <si>
    <t>l3_lastinter_unit</t>
  </si>
  <si>
    <t>l4_lastinter_cond</t>
  </si>
  <si>
    <t>l5_condom_freq</t>
  </si>
  <si>
    <t>l6_numpart_year</t>
  </si>
  <si>
    <t>l7_numpart_tot</t>
  </si>
  <si>
    <t>→ Politely ask to be allowed to interview the respondent alone.  Stress that the interview is private and confidential.</t>
  </si>
  <si>
    <t>n3_physical</t>
  </si>
  <si>
    <t>n4_drink_susp</t>
  </si>
  <si>
    <t>n5_thought</t>
  </si>
  <si>
    <t>n6_emotions</t>
  </si>
  <si>
    <t>n7_pres_inter</t>
  </si>
  <si>
    <t>n8_why_not_evict</t>
  </si>
  <si>
    <t>n9_fo_comm</t>
  </si>
  <si>
    <t>gps</t>
  </si>
  <si>
    <t xml:space="preserve">endtime </t>
  </si>
  <si>
    <t>n2_gift</t>
  </si>
  <si>
    <t xml:space="preserve"> Banana leaves / Fibers </t>
  </si>
  <si>
    <t>Covered VIP latrine</t>
  </si>
  <si>
    <r>
      <t xml:space="preserve">Now I want to ask you about the items owned by you </t>
    </r>
    <r>
      <rPr>
        <b/>
        <sz val="10"/>
        <rFont val="Times New Roman"/>
        <family val="1"/>
      </rPr>
      <t>and your household</t>
    </r>
    <r>
      <rPr>
        <sz val="10"/>
        <rFont val="Times New Roman"/>
        <family val="1"/>
      </rPr>
      <t xml:space="preserve">. We just want to know about the items owned by your household, so if you have access to these items through work (if you work for a church or an NGO), but do not own them, please do not count them.
I want to remind you that the purpose of this survey is not to provide assistance, so please respond fully and completely, as your answers will not affect any kind of benefits. 
I will read a list of household items and livestock. Please tell me if </t>
    </r>
    <r>
      <rPr>
        <b/>
        <sz val="10"/>
        <rFont val="Times New Roman"/>
        <family val="1"/>
      </rPr>
      <t xml:space="preserve">you  or your household </t>
    </r>
    <r>
      <rPr>
        <sz val="10"/>
        <rFont val="Times New Roman"/>
        <family val="1"/>
      </rPr>
      <t xml:space="preserve">own any and how many of each you and your household own that are in good working condition or easily repairable. Please count the young animals (calves, kids, chicks, etc.). </t>
    </r>
  </si>
  <si>
    <t>Respondent gave age but is not sure about it</t>
  </si>
  <si>
    <r>
      <rPr>
        <b/>
        <sz val="9"/>
        <rFont val="Cambria"/>
        <family val="1"/>
      </rPr>
      <t xml:space="preserve">Read: </t>
    </r>
    <r>
      <rPr>
        <sz val="9"/>
        <rFont val="Cambria"/>
        <family val="1"/>
      </rPr>
      <t>Now we want to ask you about all the children in this household. We only want to know about children</t>
    </r>
    <r>
      <rPr>
        <u/>
        <sz val="9"/>
        <rFont val="Cambria"/>
        <family val="1"/>
      </rPr>
      <t xml:space="preserve"> under 16 years of age who reside in this household</t>
    </r>
    <r>
      <rPr>
        <sz val="9"/>
        <rFont val="Cambria"/>
        <family val="1"/>
      </rPr>
      <t xml:space="preserve">, so if you have children older than 15 or children that do not live in this household, please do not report them. </t>
    </r>
    <r>
      <rPr>
        <b/>
        <sz val="9"/>
        <rFont val="Cambria"/>
        <family val="1"/>
      </rPr>
      <t xml:space="preserve">[If necessary, repeat the household definition].
Instructions: </t>
    </r>
    <r>
      <rPr>
        <sz val="9"/>
        <rFont val="Cambria"/>
        <family val="1"/>
      </rPr>
      <t>List all children under 16 years of age from oldest to youngest.  Ask all the questions about each child before moving on to the next child. Do not ask about schooling of children under age 4.</t>
    </r>
  </si>
  <si>
    <t>Cigarettes or tobacco?</t>
  </si>
  <si>
    <t xml:space="preserve">Personal products / cosmetics (for example: toothpaste, toothbrush, shampoo, razor blades, hair products, deodorant, perfume, make up, glycerin, skin creams)?
Do not include hair products purchased for business.
</t>
  </si>
  <si>
    <t>Household cleaning products (soap dish,  toilet cleansers, steal wire or sponge ,etc.)?</t>
  </si>
  <si>
    <t>Donations/offertories/collection to  church/mosque, charity, beggars, etc.</t>
  </si>
  <si>
    <r>
      <t xml:space="preserve">Costs for agricultural improvements for crops for eating </t>
    </r>
    <r>
      <rPr>
        <i/>
        <sz val="10"/>
        <rFont val="Times New Roman"/>
        <family val="1"/>
      </rPr>
      <t xml:space="preserve">(Include fertilizer, seeds, etc.)
</t>
    </r>
    <r>
      <rPr>
        <sz val="10"/>
        <rFont val="Times New Roman"/>
        <family val="1"/>
      </rPr>
      <t>DO NOT COUNT agricultural improvements/purchases for commercial farming</t>
    </r>
  </si>
  <si>
    <t>Working as a volunteer for a private firm, NGO or religious organization, for example, as a CASA for TASO</t>
  </si>
  <si>
    <t>I.2a</t>
  </si>
  <si>
    <t>I.3a</t>
  </si>
  <si>
    <t>I.4a</t>
  </si>
  <si>
    <t>SEXUAL ACTIVITY</t>
  </si>
  <si>
    <t>Drop-down</t>
  </si>
  <si>
    <t>Can you please provide me with a phone numer on which I can reach you?</t>
  </si>
  <si>
    <t>→ 4</t>
  </si>
  <si>
    <t>Income</t>
  </si>
  <si>
    <t>Time use</t>
  </si>
  <si>
    <t>transfers</t>
  </si>
  <si>
    <t>borrowing</t>
  </si>
  <si>
    <t xml:space="preserve">lending </t>
  </si>
  <si>
    <t xml:space="preserve">Sexual activity </t>
  </si>
  <si>
    <t xml:space="preserve">Food Security </t>
  </si>
  <si>
    <t>Wrap-up</t>
  </si>
  <si>
    <t>R</t>
  </si>
  <si>
    <t>On the whole, I am satisfied with myself</t>
  </si>
  <si>
    <t xml:space="preserve">Stongly Agree </t>
  </si>
  <si>
    <t>Agree</t>
  </si>
  <si>
    <t>Disagree</t>
  </si>
  <si>
    <t>Strongly disagree</t>
  </si>
  <si>
    <t xml:space="preserve">At times, I think I am no good at all. </t>
  </si>
  <si>
    <t xml:space="preserve">I feel I do not have much to be proud of. </t>
  </si>
  <si>
    <t>I am able to do things as well as most other people.</t>
  </si>
  <si>
    <t xml:space="preserve"> I feel that I have a number of good qualities. </t>
  </si>
  <si>
    <t xml:space="preserve"> I certainly feel useless at times.</t>
  </si>
  <si>
    <t xml:space="preserve"> I wish I could have more respect for myself</t>
  </si>
  <si>
    <t>All in all, I am inclined to feel that I am a failure.</t>
  </si>
  <si>
    <t xml:space="preserve"> I take a positive attitude toward myself.</t>
  </si>
  <si>
    <t>Instructions: Below is a list of statements dealing with your general feelings about yourself. If you strongly agree, choose Strongly Agree. If you agree with the statement, choose  Agree. If you disagree, choose Disagree. If you strongly disagree, chosse Strongly Disagree.</t>
  </si>
  <si>
    <t>s</t>
  </si>
  <si>
    <t>T</t>
  </si>
  <si>
    <t xml:space="preserve">Instructions:Imagine a ladder with steps numbered from zero at the bottom to 10 at the top. The top of 
the ladder represents the best possible life for you and the bottom of the ladder represents 
the worst possible life for you.  Whis number would you want to choose? 
</t>
  </si>
  <si>
    <t>Enter number between 0-10: 
|__|__|</t>
  </si>
  <si>
    <t xml:space="preserve">On which step of the ladder would you say you personally feel you stand at this 
time? 
</t>
  </si>
  <si>
    <t xml:space="preserve">On which step do you think you will stand about five years from now? </t>
  </si>
  <si>
    <t>s1_feelnow</t>
  </si>
  <si>
    <t>s2_feelin5y</t>
  </si>
  <si>
    <t>I feel that I’m a person of worth, at least on an equal plane with others</t>
  </si>
  <si>
    <t>a. Children get into trouble because their parents punish them too much.</t>
  </si>
  <si>
    <t>b. People's misfortunes result from the mistakes they make.</t>
  </si>
  <si>
    <t>a. Many of the unhappy things in people's lives are partly due to bad luck.</t>
  </si>
  <si>
    <t>b. The trouble with most children nowadays is that their parents are too easy with them.</t>
  </si>
  <si>
    <t>a. One of the major reasons why we have wars is because people don't take enough interest in politics.</t>
  </si>
  <si>
    <t>b. There will always be wars, no matter how hard people try to prevent them.</t>
  </si>
  <si>
    <t>a. In the long run people get the respect they deserve in this world.</t>
  </si>
  <si>
    <t xml:space="preserve"> b. Unfortunately, an individual's worth often passes unrecognized no matter how hard he tries.</t>
  </si>
  <si>
    <t>a. The idea that teachers are unfair to students is nonsense.</t>
  </si>
  <si>
    <t>b. Most students don't realize the extent to which their grades are influenced by accidental happenings.</t>
  </si>
  <si>
    <t>a. Without the right breaks one cannot be an effective leader.</t>
  </si>
  <si>
    <t>b. Capable people who fail to become leaders have not taken advantage of their opportunities.</t>
  </si>
  <si>
    <t>a. No matter how hard you try some people just don't like you.</t>
  </si>
  <si>
    <t>b. People who can't get others to like them don't understand how to get along with others.</t>
  </si>
  <si>
    <t>a. Heredity plays the major role in determining one's personality.</t>
  </si>
  <si>
    <t>b. It is one's experiences in life which determine what they're like.</t>
  </si>
  <si>
    <t>a. I have often found that what is going to happen will happen.</t>
  </si>
  <si>
    <t xml:space="preserve"> b. Trusting to fate has never turned out as well for me as making a decision to take a definite course of action.</t>
  </si>
  <si>
    <t xml:space="preserve"> a. In the case of the well prepared student there is rarely if ever such a thing as an unfair test.</t>
  </si>
  <si>
    <t>b. Many times exam questions tend to be so unrelated to course work that studying in really useless.</t>
  </si>
  <si>
    <t>a. Becoming a success is a matter of hard work, luck has little or nothing to do with it.</t>
  </si>
  <si>
    <t>b. Getting a good job depends mainly on being in the right place at the right time.</t>
  </si>
  <si>
    <t>a. The average citizen can have an influence in government decisions.</t>
  </si>
  <si>
    <t>b. This world is run by the few people in power, and there is not much the little guy can do about it.</t>
  </si>
  <si>
    <t>a. When I make plans, I am almost certain that I can make them work.</t>
  </si>
  <si>
    <t>b. It is not always wise to plan too far ahead because many things turn out to be a matter of good or bad fortune anyhow.</t>
  </si>
  <si>
    <t>a. There are certain people who are just no good.</t>
  </si>
  <si>
    <t>a. In my case getting what I want has little or nothing to do with luck.</t>
  </si>
  <si>
    <t>b. Many times we might just as well decide what to do by flipping a coin.</t>
  </si>
  <si>
    <t>a. Who gets to be the boss often depends on who was lucky enough to be in the right place first.</t>
  </si>
  <si>
    <t>b. Getting people to do the right thing depends upon ability, luck has little or nothing to do with it.</t>
  </si>
  <si>
    <t>a. As far as world affairs are concerned, most of us are the victims of forces we can neither understand, nor control.</t>
  </si>
  <si>
    <t>b. By taking an active part in political and social affairs the people can control world events.</t>
  </si>
  <si>
    <t>a. Most people don't realize the extent to which their lives are controlled by accidental happenings.</t>
  </si>
  <si>
    <t>b. There really is no such thing as "luck."</t>
  </si>
  <si>
    <t>a. One should always be willing to admit mistakes.</t>
  </si>
  <si>
    <t>b. It is usually best to cover up one's mistakes.</t>
  </si>
  <si>
    <t>a. It is hard to know whether or not a person really likes you.</t>
  </si>
  <si>
    <t>b. How many friends you have depends upon how nice a person you are.</t>
  </si>
  <si>
    <t>a. In the long run the bad things that happen to us are balanced by the good ones.</t>
  </si>
  <si>
    <t>b. Most misfortunes are the result of lack of ability, ignorance, laziness, or all three.</t>
  </si>
  <si>
    <t>a. With enough effort we can wipe out political corruption.</t>
  </si>
  <si>
    <t>b. It is difficult for people to have much control over the things politicians do in office.</t>
  </si>
  <si>
    <t>a. Sometimes I can't understand how teachers arrive at the grades they give.</t>
  </si>
  <si>
    <t>a. A good leader expects people to decide for themselves what they should do.</t>
  </si>
  <si>
    <t>b. A good leader makes it clear to everybody what their jobs are.</t>
  </si>
  <si>
    <t xml:space="preserve"> a. Many times I feel that I have little influence over the things that happen to me.</t>
  </si>
  <si>
    <t>b. It is impossible for me to believe that chance or luck plays an important role in my life.</t>
  </si>
  <si>
    <t xml:space="preserve"> a. People are lonely because they don't try to be friendly.</t>
  </si>
  <si>
    <t>b. There's not much use in trying too hard to please people, if they like you, they like you.</t>
  </si>
  <si>
    <t>a. There is too much emphasis on athletics in high school.</t>
  </si>
  <si>
    <t>b. Team sports are an excellent way to build character.</t>
  </si>
  <si>
    <t>a. What happens to me is my own doing.</t>
  </si>
  <si>
    <t>b. Sometimes I feel that I don't have enough control over the direction my life is taking.</t>
  </si>
  <si>
    <t>a. Most of the time I can't understand why politicians behave the way they do.</t>
  </si>
  <si>
    <t xml:space="preserve"> b. In the long run the people are responsible for bad government on a national as well as on a local level.</t>
  </si>
  <si>
    <t>t1_rotter</t>
  </si>
  <si>
    <t>t2_rotter</t>
  </si>
  <si>
    <t>t3_rotter</t>
  </si>
  <si>
    <t>t4_rotter</t>
  </si>
  <si>
    <t>t5_rotter</t>
  </si>
  <si>
    <t>t6_rotter</t>
  </si>
  <si>
    <t>t7_rotter</t>
  </si>
  <si>
    <t>t8_rotter</t>
  </si>
  <si>
    <t>t9_rotter</t>
  </si>
  <si>
    <t>t10_rotter</t>
  </si>
  <si>
    <t>t11_rotter</t>
  </si>
  <si>
    <t>t12_rotter</t>
  </si>
  <si>
    <t>t13_rotter</t>
  </si>
  <si>
    <t>t14_rotter</t>
  </si>
  <si>
    <t>t15_rotter</t>
  </si>
  <si>
    <t>t16_rotter</t>
  </si>
  <si>
    <t>t17_rotter</t>
  </si>
  <si>
    <t>t18_rotter</t>
  </si>
  <si>
    <t>t19_rotter</t>
  </si>
  <si>
    <t>t20_rotter</t>
  </si>
  <si>
    <t>t21_rotter</t>
  </si>
  <si>
    <t>t22_rotter</t>
  </si>
  <si>
    <t>t23_rotter</t>
  </si>
  <si>
    <t>t24_rotter</t>
  </si>
  <si>
    <t>t25_rotter</t>
  </si>
  <si>
    <t>t26_rotter</t>
  </si>
  <si>
    <t>t27_rotter</t>
  </si>
  <si>
    <t>t28_rotter</t>
  </si>
  <si>
    <t>t29_rotter</t>
  </si>
  <si>
    <t>B. If yes, where are these savings? 
SELECT ALL THAT APPLY</t>
  </si>
  <si>
    <t>With another family member</t>
  </si>
  <si>
    <t xml:space="preserve">With friends </t>
  </si>
  <si>
    <t>In a secure place in my house</t>
  </si>
  <si>
    <t xml:space="preserve">Self-esteem </t>
  </si>
  <si>
    <t xml:space="preserve">Optimism </t>
  </si>
  <si>
    <t xml:space="preserve">Locus of Control </t>
  </si>
  <si>
    <t>b.  There is some good in everybody.</t>
  </si>
  <si>
    <t>1b</t>
  </si>
  <si>
    <t>Will you be able to attande bleeding by TASO in your CDDP next week?</t>
  </si>
  <si>
    <t xml:space="preserve">Yes </t>
  </si>
  <si>
    <t>Answer the following questions the way you feel, choose the statement that you prefer more.  There are no right or wrong answers.  Don't take too much time answering any one questions.</t>
  </si>
  <si>
    <t xml:space="preserve">r1_rosenburg </t>
  </si>
  <si>
    <t xml:space="preserve">r2_rosenburg </t>
  </si>
  <si>
    <t>r3_rosenburg</t>
  </si>
  <si>
    <t>r4_rosenburg</t>
  </si>
  <si>
    <t>r5_rosenburg</t>
  </si>
  <si>
    <t>r6_rosenburg</t>
  </si>
  <si>
    <t>r7_rosenburg</t>
  </si>
  <si>
    <t>r8_rosenburg</t>
  </si>
  <si>
    <t>r9_rosenburg</t>
  </si>
  <si>
    <t>r10_rosenburg</t>
  </si>
  <si>
    <t>As a down paymnet for a new asset</t>
  </si>
  <si>
    <t>Other , specify</t>
  </si>
  <si>
    <t xml:space="preserve">Other , specify: </t>
  </si>
  <si>
    <t>&lt;Hint. Do you have a job?&gt;</t>
  </si>
  <si>
    <t>G. 5</t>
  </si>
  <si>
    <r>
      <t>D.25. What is [NAME]'s relationship to you?</t>
    </r>
    <r>
      <rPr>
        <u/>
        <sz val="9"/>
        <rFont val="Cambria"/>
        <family val="1"/>
      </rPr>
      <t xml:space="preserve">
</t>
    </r>
  </si>
  <si>
    <r>
      <t>Was anyone present during the survey other than the respondent, the FO, and the TL?</t>
    </r>
    <r>
      <rPr>
        <i/>
        <sz val="10"/>
        <rFont val="Times New Roman"/>
        <family val="1"/>
      </rPr>
      <t xml:space="preserve"> (Do not count children under 3 years old)
</t>
    </r>
    <r>
      <rPr>
        <b/>
        <sz val="10"/>
        <rFont val="Times New Roman"/>
        <family val="1"/>
      </rPr>
      <t>CHECK ALL THAT APPLY</t>
    </r>
  </si>
  <si>
    <t>Enter the date of the scheduled bleeding for this respondent (according to the schedule)</t>
  </si>
  <si>
    <t>A shop/ A shop keeper</t>
  </si>
  <si>
    <t xml:space="preserve">A clinic/ A Health center  </t>
  </si>
  <si>
    <t>Saving schem at work / retirement savings (incl. NSSF)</t>
  </si>
  <si>
    <t>Thank you. Now I want to ask you about the houses your household occupies. By your household,   we mean people who live on the same compound, eat together from the same pot, share financial resources, and recognize one person as the head.                                                                                                                                                                    Before we talk about this, let us discuss what we mean by household in this survey, and who we should count as your household this time. By household throughout the survey we mean a group of persons who: 
--live together in the same dwelling or compound,
--recognize one person as the head, 
--share the same housekeeping arrangement and eat from the same pot,
--contribute financially and/or receive financial support from the household,
--and have lived in the household for at least 30 days consecutively or 60 days non consecutively in the last three months.</t>
  </si>
  <si>
    <t>b. There is a direct connection between how hard I study and the grades I get.</t>
  </si>
  <si>
    <t>In the past 3 weeks have you rasied income by selling animals and/or animal products that were meant for your own (home)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</si>
</sst>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4" x14ac:knownFonts="1">
    <font>
      <sz val="11"/>
      <color theme="1"/>
      <name val="Calibri"/>
      <family val="2"/>
      <scheme val="minor"/>
    </font>
    <font>
      <sz val="11"/>
      <color rgb="FFFF0000"/>
      <name val="Calibri"/>
      <family val="2"/>
      <scheme val="minor"/>
    </font>
    <font>
      <b/>
      <u/>
      <sz val="12"/>
      <color indexed="12"/>
      <name val="Times New Roman"/>
      <family val="1"/>
    </font>
    <font>
      <b/>
      <sz val="10"/>
      <name val="Times New Roman"/>
      <family val="1"/>
    </font>
    <font>
      <sz val="10"/>
      <name val="Times New Roman"/>
      <family val="1"/>
    </font>
    <font>
      <sz val="9"/>
      <name val="Times New Roman"/>
      <family val="1"/>
    </font>
    <font>
      <sz val="10"/>
      <color indexed="8"/>
      <name val="Times New Roman"/>
      <family val="1"/>
    </font>
    <font>
      <i/>
      <sz val="10"/>
      <name val="Times New Roman"/>
      <family val="1"/>
    </font>
    <font>
      <b/>
      <sz val="10"/>
      <color indexed="8"/>
      <name val="Times New Roman"/>
      <family val="1"/>
    </font>
    <font>
      <b/>
      <i/>
      <sz val="10"/>
      <name val="Times New Roman"/>
      <family val="1"/>
    </font>
    <font>
      <sz val="9"/>
      <name val="Cambria"/>
      <family val="1"/>
    </font>
    <font>
      <b/>
      <i/>
      <sz val="10"/>
      <color indexed="8"/>
      <name val="Times New Roman"/>
      <family val="1"/>
    </font>
    <font>
      <sz val="10"/>
      <color indexed="8"/>
      <name val="Arial Narrow"/>
      <family val="2"/>
    </font>
    <font>
      <sz val="11"/>
      <color indexed="8"/>
      <name val="Arial Narrow"/>
      <family val="2"/>
    </font>
    <font>
      <b/>
      <sz val="10"/>
      <color indexed="10"/>
      <name val="Times New Roman"/>
      <family val="1"/>
    </font>
    <font>
      <i/>
      <sz val="10"/>
      <color indexed="8"/>
      <name val="Times New Roman"/>
      <family val="1"/>
    </font>
    <font>
      <b/>
      <sz val="9"/>
      <name val="Cambria"/>
      <family val="1"/>
    </font>
    <font>
      <u/>
      <sz val="9"/>
      <name val="Cambria"/>
      <family val="1"/>
    </font>
    <font>
      <u/>
      <sz val="10"/>
      <color indexed="8"/>
      <name val="Times New Roman"/>
      <family val="1"/>
    </font>
    <font>
      <b/>
      <i/>
      <sz val="9"/>
      <name val="Cambria"/>
      <family val="1"/>
    </font>
    <font>
      <sz val="10"/>
      <name val="Verdana"/>
      <family val="2"/>
    </font>
    <font>
      <u/>
      <sz val="10"/>
      <name val="Times New Roman"/>
      <family val="1"/>
    </font>
    <font>
      <sz val="8"/>
      <name val="Times New Roman"/>
      <family val="1"/>
    </font>
    <font>
      <b/>
      <i/>
      <sz val="9"/>
      <name val="Times New Roman"/>
      <family val="1"/>
    </font>
    <font>
      <b/>
      <u/>
      <sz val="10"/>
      <name val="Times New Roman"/>
      <family val="1"/>
    </font>
    <font>
      <sz val="10"/>
      <name val="Arial"/>
      <family val="2"/>
    </font>
    <font>
      <sz val="10"/>
      <color rgb="FFFF0000"/>
      <name val="Times New Roman"/>
      <family val="1"/>
    </font>
    <font>
      <sz val="9"/>
      <color rgb="FFFF0000"/>
      <name val="Times New Roman"/>
      <family val="1"/>
    </font>
    <font>
      <sz val="10"/>
      <color rgb="FFFF0000"/>
      <name val="Wingdings"/>
      <charset val="2"/>
    </font>
    <font>
      <sz val="11"/>
      <name val="Times New Roman"/>
      <family val="1"/>
    </font>
    <font>
      <sz val="11"/>
      <name val="Calibri"/>
      <family val="2"/>
      <scheme val="minor"/>
    </font>
    <font>
      <sz val="10"/>
      <name val="Cambria"/>
      <family val="1"/>
    </font>
    <font>
      <sz val="10"/>
      <name val="Calibri"/>
      <family val="2"/>
      <scheme val="minor"/>
    </font>
    <font>
      <sz val="10"/>
      <name val="Wingdings"/>
      <charset val="2"/>
    </font>
    <font>
      <b/>
      <u/>
      <sz val="12"/>
      <name val="Times New Roman"/>
      <family val="1"/>
    </font>
    <font>
      <b/>
      <sz val="9"/>
      <name val="Times New Roman"/>
      <family val="1"/>
    </font>
    <font>
      <sz val="8"/>
      <name val="Arial"/>
      <family val="2"/>
    </font>
    <font>
      <b/>
      <sz val="13"/>
      <name val="Times New Roman"/>
      <family val="1"/>
    </font>
    <font>
      <b/>
      <u/>
      <sz val="12"/>
      <name val="Verdana"/>
      <family val="2"/>
    </font>
    <font>
      <b/>
      <i/>
      <sz val="11"/>
      <color rgb="FF000000"/>
      <name val="Calibri"/>
      <family val="2"/>
      <scheme val="minor"/>
    </font>
    <font>
      <sz val="11"/>
      <color theme="1"/>
      <name val="Times New Roman"/>
      <family val="1"/>
    </font>
    <font>
      <sz val="8"/>
      <color theme="1"/>
      <name val="Calibri"/>
      <family val="2"/>
      <scheme val="minor"/>
    </font>
    <font>
      <sz val="8"/>
      <color rgb="FF222222"/>
      <name val="Arial"/>
      <family val="2"/>
    </font>
    <font>
      <sz val="8"/>
      <name val="Cambria"/>
      <family val="1"/>
    </font>
    <font>
      <sz val="8"/>
      <name val="Calibri"/>
      <family val="2"/>
      <scheme val="minor"/>
    </font>
    <font>
      <sz val="8"/>
      <color theme="1"/>
      <name val="Calibri"/>
      <family val="2"/>
    </font>
    <font>
      <u/>
      <sz val="12"/>
      <name val="Times New Roman"/>
      <family val="1"/>
    </font>
    <font>
      <u/>
      <sz val="12"/>
      <name val="Verdana"/>
      <family val="2"/>
    </font>
    <font>
      <sz val="10"/>
      <color rgb="FF00B050"/>
      <name val="Times New Roman"/>
      <family val="1"/>
    </font>
    <font>
      <sz val="11"/>
      <color rgb="FF000000"/>
      <name val="Times New Roman"/>
      <family val="1"/>
    </font>
    <font>
      <sz val="8"/>
      <color theme="1"/>
      <name val="Times New Roman"/>
      <family val="1"/>
    </font>
    <font>
      <b/>
      <sz val="11"/>
      <name val="Calibri"/>
      <family val="2"/>
      <scheme val="minor"/>
    </font>
    <font>
      <i/>
      <sz val="8"/>
      <color rgb="FF222222"/>
      <name val="Arial"/>
      <family val="2"/>
    </font>
    <font>
      <i/>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7030A0"/>
        <bgColor indexed="64"/>
      </patternFill>
    </fill>
    <fill>
      <patternFill patternType="solid">
        <fgColor rgb="FFFFFF00"/>
        <bgColor indexed="64"/>
      </patternFill>
    </fill>
  </fills>
  <borders count="68">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right style="thin">
        <color theme="0" tint="-0.14996795556505021"/>
      </right>
      <top/>
      <bottom style="thin">
        <color theme="0" tint="-0.14996795556505021"/>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auto="1"/>
      </top>
      <bottom style="thin">
        <color auto="1"/>
      </bottom>
      <diagonal/>
    </border>
    <border>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rgb="FF000000"/>
      </top>
      <bottom style="thin">
        <color indexed="64"/>
      </bottom>
      <diagonal/>
    </border>
    <border>
      <left style="thin">
        <color indexed="64"/>
      </left>
      <right style="thin">
        <color indexed="64"/>
      </right>
      <top style="medium">
        <color indexed="64"/>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top style="thin">
        <color indexed="64"/>
      </top>
      <bottom style="thin">
        <color rgb="FF000000"/>
      </bottom>
      <diagonal/>
    </border>
    <border>
      <left style="thin">
        <color indexed="64"/>
      </left>
      <right/>
      <top style="thin">
        <color rgb="FF000000"/>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5" fillId="0" borderId="0"/>
  </cellStyleXfs>
  <cellXfs count="795">
    <xf numFmtId="0" fontId="0" fillId="0" borderId="0" xfId="0"/>
    <xf numFmtId="0" fontId="0" fillId="0" borderId="0" xfId="0" applyAlignment="1">
      <alignment vertical="top"/>
    </xf>
    <xf numFmtId="0" fontId="4" fillId="0" borderId="1" xfId="0" applyFont="1" applyBorder="1" applyAlignment="1">
      <alignment horizontal="left" vertical="top" wrapText="1"/>
    </xf>
    <xf numFmtId="164" fontId="4" fillId="0" borderId="4" xfId="0" applyNumberFormat="1" applyFont="1" applyBorder="1" applyAlignment="1">
      <alignment horizontal="right" vertical="top"/>
    </xf>
    <xf numFmtId="0" fontId="4" fillId="0" borderId="6" xfId="0" applyFont="1" applyBorder="1" applyAlignment="1">
      <alignment vertical="top" wrapText="1"/>
    </xf>
    <xf numFmtId="164" fontId="4" fillId="0" borderId="8" xfId="0" applyNumberFormat="1" applyFont="1" applyBorder="1" applyAlignment="1">
      <alignment horizontal="right" vertical="top"/>
    </xf>
    <xf numFmtId="0" fontId="4" fillId="0" borderId="10" xfId="0" applyFont="1" applyBorder="1" applyAlignment="1">
      <alignment vertical="top" wrapText="1"/>
    </xf>
    <xf numFmtId="164" fontId="4" fillId="0" borderId="8" xfId="0" applyNumberFormat="1" applyFont="1" applyBorder="1" applyAlignment="1">
      <alignment horizontal="right" vertical="top" wrapText="1"/>
    </xf>
    <xf numFmtId="164" fontId="4" fillId="0" borderId="7" xfId="0" applyNumberFormat="1" applyFont="1" applyBorder="1" applyAlignment="1">
      <alignment horizontal="right" vertical="top"/>
    </xf>
    <xf numFmtId="0" fontId="4" fillId="0" borderId="12" xfId="0" applyFont="1" applyBorder="1" applyAlignment="1">
      <alignment vertical="top" wrapText="1"/>
    </xf>
    <xf numFmtId="164" fontId="4" fillId="0" borderId="3" xfId="0" applyNumberFormat="1" applyFont="1" applyBorder="1" applyAlignment="1">
      <alignment horizontal="right" vertical="top" wrapText="1"/>
    </xf>
    <xf numFmtId="164" fontId="4" fillId="0" borderId="3" xfId="0" applyNumberFormat="1" applyFont="1" applyBorder="1" applyAlignment="1">
      <alignment horizontal="right" vertical="top"/>
    </xf>
    <xf numFmtId="0" fontId="4" fillId="0" borderId="13" xfId="0" applyFont="1" applyBorder="1" applyAlignment="1">
      <alignment vertical="top" wrapText="1"/>
    </xf>
    <xf numFmtId="0" fontId="0" fillId="0" borderId="7" xfId="0" applyBorder="1"/>
    <xf numFmtId="164" fontId="4" fillId="0" borderId="5" xfId="0" applyNumberFormat="1" applyFont="1" applyBorder="1" applyAlignment="1">
      <alignment horizontal="left" vertical="top"/>
    </xf>
    <xf numFmtId="0" fontId="0" fillId="0" borderId="3" xfId="0" applyBorder="1"/>
    <xf numFmtId="0" fontId="4" fillId="0" borderId="13" xfId="0" applyFont="1" applyBorder="1" applyAlignment="1">
      <alignment vertical="top"/>
    </xf>
    <xf numFmtId="164" fontId="4" fillId="0" borderId="9" xfId="0" applyNumberFormat="1" applyFont="1" applyBorder="1" applyAlignment="1">
      <alignment horizontal="left" vertical="top"/>
    </xf>
    <xf numFmtId="0" fontId="4" fillId="0" borderId="9" xfId="0" applyFont="1" applyBorder="1" applyAlignment="1">
      <alignment vertical="top" wrapText="1"/>
    </xf>
    <xf numFmtId="164" fontId="4" fillId="0" borderId="1" xfId="0" applyNumberFormat="1" applyFont="1" applyBorder="1" applyAlignment="1">
      <alignment horizontal="left" vertical="top"/>
    </xf>
    <xf numFmtId="0" fontId="4" fillId="0" borderId="9" xfId="0" applyFont="1" applyBorder="1" applyAlignment="1">
      <alignment horizontal="left" vertical="top" wrapText="1"/>
    </xf>
    <xf numFmtId="164" fontId="4" fillId="0" borderId="7" xfId="0" applyNumberFormat="1" applyFont="1" applyBorder="1" applyAlignment="1">
      <alignment horizontal="right" vertical="top" wrapText="1"/>
    </xf>
    <xf numFmtId="0" fontId="4" fillId="0" borderId="11" xfId="0" applyFont="1" applyBorder="1" applyAlignment="1">
      <alignment horizontal="left" vertical="top" wrapText="1"/>
    </xf>
    <xf numFmtId="0" fontId="4" fillId="0" borderId="4" xfId="0" applyFont="1" applyBorder="1" applyAlignment="1">
      <alignment vertical="top" wrapText="1"/>
    </xf>
    <xf numFmtId="0" fontId="4" fillId="0" borderId="10" xfId="0" applyFont="1" applyBorder="1" applyAlignment="1">
      <alignment horizontal="left" vertical="top" wrapText="1"/>
    </xf>
    <xf numFmtId="164" fontId="4" fillId="0" borderId="8" xfId="0" applyNumberFormat="1" applyFont="1" applyBorder="1" applyAlignment="1">
      <alignment vertical="top" wrapText="1"/>
    </xf>
    <xf numFmtId="0" fontId="4" fillId="0" borderId="11" xfId="0" applyFont="1" applyBorder="1" applyAlignment="1">
      <alignment vertical="top" wrapText="1"/>
    </xf>
    <xf numFmtId="0" fontId="4" fillId="0" borderId="12" xfId="0" applyFont="1" applyBorder="1" applyAlignment="1">
      <alignment horizontal="left" vertical="top" wrapText="1"/>
    </xf>
    <xf numFmtId="0" fontId="4" fillId="0" borderId="1" xfId="0" applyFont="1" applyBorder="1" applyAlignment="1">
      <alignment vertical="top" wrapText="1"/>
    </xf>
    <xf numFmtId="0" fontId="4" fillId="0" borderId="0" xfId="0" applyFont="1" applyAlignment="1">
      <alignment vertical="top" wrapText="1"/>
    </xf>
    <xf numFmtId="0" fontId="4" fillId="0" borderId="6" xfId="0" applyFont="1" applyBorder="1" applyAlignment="1">
      <alignment horizontal="left" vertical="top" wrapText="1"/>
    </xf>
    <xf numFmtId="164" fontId="4" fillId="0" borderId="9" xfId="0" applyNumberFormat="1" applyFont="1" applyBorder="1" applyAlignment="1">
      <alignment horizontal="left" vertical="top" wrapText="1"/>
    </xf>
    <xf numFmtId="164" fontId="4" fillId="0" borderId="11" xfId="0" applyNumberFormat="1" applyFont="1" applyBorder="1" applyAlignment="1">
      <alignment horizontal="left" vertical="top" wrapText="1"/>
    </xf>
    <xf numFmtId="0" fontId="6" fillId="0" borderId="12" xfId="0" applyFont="1" applyBorder="1"/>
    <xf numFmtId="0" fontId="6" fillId="0" borderId="11" xfId="0" applyFont="1" applyBorder="1"/>
    <xf numFmtId="0" fontId="6" fillId="0" borderId="10" xfId="0" applyFont="1" applyBorder="1"/>
    <xf numFmtId="164" fontId="4" fillId="0" borderId="8" xfId="0" applyNumberFormat="1" applyFont="1" applyBorder="1" applyAlignment="1">
      <alignment wrapText="1"/>
    </xf>
    <xf numFmtId="0" fontId="4" fillId="0" borderId="9" xfId="0" applyFont="1" applyBorder="1" applyAlignment="1">
      <alignment wrapText="1"/>
    </xf>
    <xf numFmtId="164" fontId="4" fillId="0" borderId="3" xfId="0" applyNumberFormat="1" applyFont="1" applyBorder="1" applyAlignment="1">
      <alignment wrapText="1"/>
    </xf>
    <xf numFmtId="0" fontId="4" fillId="0" borderId="1" xfId="0" applyFont="1" applyBorder="1" applyAlignment="1">
      <alignment wrapText="1"/>
    </xf>
    <xf numFmtId="164" fontId="5" fillId="0" borderId="9" xfId="0" applyNumberFormat="1" applyFont="1" applyBorder="1" applyAlignment="1">
      <alignment wrapText="1"/>
    </xf>
    <xf numFmtId="0" fontId="6" fillId="0" borderId="9" xfId="0" applyFont="1" applyBorder="1" applyAlignment="1">
      <alignment wrapText="1"/>
    </xf>
    <xf numFmtId="164" fontId="4" fillId="0" borderId="15" xfId="0" applyNumberFormat="1" applyFont="1" applyBorder="1" applyAlignment="1">
      <alignment wrapText="1"/>
    </xf>
    <xf numFmtId="164" fontId="5" fillId="0" borderId="11" xfId="0" applyNumberFormat="1" applyFont="1" applyBorder="1" applyAlignment="1">
      <alignment wrapText="1"/>
    </xf>
    <xf numFmtId="0" fontId="6" fillId="0" borderId="11" xfId="0" applyFont="1" applyBorder="1" applyAlignment="1">
      <alignment wrapText="1"/>
    </xf>
    <xf numFmtId="164" fontId="4" fillId="0" borderId="0" xfId="0" applyNumberFormat="1" applyFont="1" applyAlignment="1">
      <alignment wrapText="1"/>
    </xf>
    <xf numFmtId="0" fontId="4" fillId="0" borderId="11" xfId="0" applyFont="1" applyBorder="1" applyAlignment="1">
      <alignment wrapText="1"/>
    </xf>
    <xf numFmtId="164" fontId="5" fillId="0" borderId="1" xfId="0" applyNumberFormat="1" applyFont="1" applyBorder="1" applyAlignment="1">
      <alignment wrapText="1"/>
    </xf>
    <xf numFmtId="0" fontId="6" fillId="0" borderId="1" xfId="0" applyFont="1" applyBorder="1" applyAlignment="1">
      <alignment wrapText="1"/>
    </xf>
    <xf numFmtId="164" fontId="5" fillId="0" borderId="5" xfId="0" applyNumberFormat="1" applyFont="1" applyBorder="1" applyAlignment="1">
      <alignment wrapText="1"/>
    </xf>
    <xf numFmtId="0" fontId="6" fillId="0" borderId="5" xfId="0" applyFont="1" applyBorder="1" applyAlignment="1">
      <alignment wrapText="1"/>
    </xf>
    <xf numFmtId="0" fontId="14" fillId="0" borderId="12" xfId="0" applyFont="1" applyBorder="1" applyAlignment="1">
      <alignment wrapText="1"/>
    </xf>
    <xf numFmtId="164" fontId="4" fillId="0" borderId="7" xfId="0" applyNumberFormat="1" applyFont="1" applyBorder="1" applyAlignment="1">
      <alignment wrapText="1"/>
    </xf>
    <xf numFmtId="0" fontId="6" fillId="0" borderId="12" xfId="0" applyFont="1" applyBorder="1" applyAlignment="1">
      <alignment wrapText="1"/>
    </xf>
    <xf numFmtId="0" fontId="6" fillId="0" borderId="10" xfId="0" applyFont="1" applyBorder="1" applyAlignment="1">
      <alignment wrapText="1"/>
    </xf>
    <xf numFmtId="0" fontId="6" fillId="0" borderId="13" xfId="0" applyFont="1" applyBorder="1" applyAlignment="1">
      <alignment wrapText="1"/>
    </xf>
    <xf numFmtId="2" fontId="6" fillId="0" borderId="11" xfId="0" applyNumberFormat="1" applyFont="1" applyBorder="1" applyAlignment="1">
      <alignment wrapText="1"/>
    </xf>
    <xf numFmtId="2" fontId="6" fillId="0" borderId="1" xfId="0" applyNumberFormat="1" applyFont="1" applyBorder="1" applyAlignment="1">
      <alignment wrapText="1"/>
    </xf>
    <xf numFmtId="0" fontId="4" fillId="0" borderId="0" xfId="0" applyFont="1" applyAlignment="1">
      <alignment vertical="top"/>
    </xf>
    <xf numFmtId="164" fontId="10" fillId="0" borderId="10" xfId="0" applyNumberFormat="1" applyFont="1" applyBorder="1" applyAlignment="1">
      <alignment horizontal="center" vertical="top" wrapText="1"/>
    </xf>
    <xf numFmtId="164" fontId="4" fillId="0" borderId="10" xfId="0" applyNumberFormat="1" applyFont="1" applyBorder="1" applyAlignment="1">
      <alignment horizontal="center" vertical="center" wrapText="1"/>
    </xf>
    <xf numFmtId="0" fontId="4" fillId="0" borderId="9" xfId="0" applyFont="1" applyBorder="1" applyAlignment="1">
      <alignment vertical="center" wrapText="1"/>
    </xf>
    <xf numFmtId="0" fontId="10" fillId="0" borderId="6" xfId="0" applyFont="1" applyBorder="1" applyAlignment="1">
      <alignment vertical="top" wrapText="1"/>
    </xf>
    <xf numFmtId="0" fontId="10" fillId="0" borderId="6" xfId="0" applyFont="1" applyBorder="1" applyAlignment="1">
      <alignment horizontal="left" vertical="top" wrapText="1"/>
    </xf>
    <xf numFmtId="0" fontId="0" fillId="0" borderId="10" xfId="0" applyBorder="1"/>
    <xf numFmtId="0" fontId="0" fillId="0" borderId="15" xfId="0" applyBorder="1"/>
    <xf numFmtId="0" fontId="10" fillId="2" borderId="10" xfId="0" applyFont="1" applyFill="1" applyBorder="1" applyAlignment="1">
      <alignment vertical="center" wrapText="1"/>
    </xf>
    <xf numFmtId="0" fontId="10" fillId="2" borderId="9" xfId="0" applyFont="1" applyFill="1" applyBorder="1" applyAlignment="1">
      <alignment vertical="center" wrapText="1"/>
    </xf>
    <xf numFmtId="0" fontId="0" fillId="0" borderId="12" xfId="0" applyBorder="1"/>
    <xf numFmtId="0" fontId="10" fillId="2" borderId="12" xfId="0" applyFont="1" applyFill="1" applyBorder="1" applyAlignment="1">
      <alignment vertical="top" wrapText="1"/>
    </xf>
    <xf numFmtId="0" fontId="10" fillId="2" borderId="11" xfId="0" applyFont="1" applyFill="1" applyBorder="1" applyAlignment="1">
      <alignment vertical="top" wrapText="1"/>
    </xf>
    <xf numFmtId="0" fontId="10" fillId="2" borderId="11" xfId="0" applyFont="1" applyFill="1" applyBorder="1" applyAlignment="1">
      <alignment vertical="center" wrapText="1"/>
    </xf>
    <xf numFmtId="0" fontId="0" fillId="0" borderId="13" xfId="0" applyBorder="1"/>
    <xf numFmtId="0" fontId="0" fillId="0" borderId="2" xfId="0" applyBorder="1"/>
    <xf numFmtId="0" fontId="10" fillId="2" borderId="13" xfId="0" applyFont="1" applyFill="1" applyBorder="1" applyAlignment="1">
      <alignment vertical="center" wrapText="1"/>
    </xf>
    <xf numFmtId="0" fontId="10" fillId="2" borderId="1" xfId="0" quotePrefix="1" applyFont="1" applyFill="1" applyBorder="1" applyAlignment="1">
      <alignment vertical="center" wrapText="1"/>
    </xf>
    <xf numFmtId="0" fontId="4" fillId="0" borderId="6" xfId="0" applyFont="1" applyBorder="1" applyAlignment="1">
      <alignment horizontal="left" vertical="center" wrapText="1" indent="2"/>
    </xf>
    <xf numFmtId="0" fontId="10" fillId="0" borderId="6" xfId="0" applyFont="1" applyBorder="1" applyAlignment="1">
      <alignment horizontal="left" vertical="center" wrapText="1" indent="2"/>
    </xf>
    <xf numFmtId="0" fontId="10" fillId="0" borderId="6" xfId="0" applyFont="1" applyBorder="1" applyAlignment="1">
      <alignment horizontal="center" vertical="center" wrapText="1"/>
    </xf>
    <xf numFmtId="0" fontId="10" fillId="0" borderId="6" xfId="0" applyFont="1" applyBorder="1" applyAlignment="1">
      <alignment vertical="center" wrapText="1"/>
    </xf>
    <xf numFmtId="164" fontId="4" fillId="0" borderId="6" xfId="0" applyNumberFormat="1" applyFont="1" applyBorder="1"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3" fillId="0" borderId="0" xfId="0" applyFont="1" applyAlignment="1">
      <alignment horizontal="left" vertical="top" wrapText="1"/>
    </xf>
    <xf numFmtId="0" fontId="4" fillId="0" borderId="3" xfId="0" applyFont="1" applyBorder="1" applyAlignment="1">
      <alignment horizontal="center" vertical="top" wrapText="1"/>
    </xf>
    <xf numFmtId="0" fontId="4" fillId="0" borderId="1" xfId="0" applyFont="1" applyBorder="1" applyAlignment="1">
      <alignment horizontal="center" vertical="top"/>
    </xf>
    <xf numFmtId="164" fontId="4" fillId="0" borderId="5" xfId="0" applyNumberFormat="1" applyFont="1" applyBorder="1" applyAlignment="1">
      <alignment horizontal="left" vertical="top" wrapText="1"/>
    </xf>
    <xf numFmtId="164" fontId="4" fillId="0" borderId="14" xfId="0" applyNumberFormat="1" applyFont="1" applyBorder="1" applyAlignment="1">
      <alignment vertical="top"/>
    </xf>
    <xf numFmtId="0" fontId="4" fillId="0" borderId="5" xfId="0" applyFont="1" applyBorder="1" applyAlignment="1">
      <alignment horizontal="left" vertical="center" wrapText="1"/>
    </xf>
    <xf numFmtId="164" fontId="4" fillId="0" borderId="11" xfId="0" applyNumberFormat="1" applyFont="1" applyBorder="1" applyAlignment="1">
      <alignment horizontal="left" vertical="top"/>
    </xf>
    <xf numFmtId="164" fontId="4" fillId="0" borderId="0" xfId="0" applyNumberFormat="1" applyFont="1" applyAlignment="1">
      <alignment vertical="top"/>
    </xf>
    <xf numFmtId="164" fontId="4" fillId="0" borderId="3" xfId="0" applyNumberFormat="1" applyFont="1" applyBorder="1" applyAlignment="1">
      <alignment vertical="top"/>
    </xf>
    <xf numFmtId="0" fontId="4" fillId="0" borderId="1" xfId="0" applyFont="1" applyBorder="1" applyAlignment="1">
      <alignment vertical="top"/>
    </xf>
    <xf numFmtId="164" fontId="4" fillId="0" borderId="7" xfId="0" applyNumberFormat="1" applyFont="1" applyBorder="1" applyAlignment="1">
      <alignment vertical="top"/>
    </xf>
    <xf numFmtId="0" fontId="4" fillId="0" borderId="11" xfId="0" applyFont="1" applyBorder="1" applyAlignment="1">
      <alignment vertical="top"/>
    </xf>
    <xf numFmtId="164" fontId="4" fillId="0" borderId="8" xfId="0" applyNumberFormat="1" applyFont="1" applyBorder="1" applyAlignment="1">
      <alignment vertical="top"/>
    </xf>
    <xf numFmtId="0" fontId="4" fillId="0" borderId="9" xfId="0" applyFont="1" applyBorder="1" applyAlignment="1">
      <alignment horizontal="left" vertical="top"/>
    </xf>
    <xf numFmtId="0" fontId="4" fillId="0" borderId="11" xfId="0" applyFont="1" applyBorder="1" applyAlignment="1">
      <alignment horizontal="left" vertical="top"/>
    </xf>
    <xf numFmtId="164" fontId="4" fillId="0" borderId="15" xfId="0" applyNumberFormat="1" applyFont="1" applyBorder="1" applyAlignment="1">
      <alignment vertical="top"/>
    </xf>
    <xf numFmtId="0" fontId="0" fillId="0" borderId="3" xfId="0" applyBorder="1" applyAlignment="1">
      <alignment horizontal="center" vertical="top"/>
    </xf>
    <xf numFmtId="0" fontId="0" fillId="0" borderId="1" xfId="0" applyBorder="1" applyAlignment="1">
      <alignment horizontal="left" vertical="top"/>
    </xf>
    <xf numFmtId="0" fontId="0" fillId="0" borderId="13" xfId="0" applyBorder="1" applyAlignment="1">
      <alignment horizontal="left" vertical="top"/>
    </xf>
    <xf numFmtId="164" fontId="4" fillId="0" borderId="2" xfId="0" applyNumberFormat="1" applyFont="1" applyBorder="1" applyAlignment="1">
      <alignment vertical="top"/>
    </xf>
    <xf numFmtId="0" fontId="4" fillId="0" borderId="9" xfId="0" applyFont="1" applyBorder="1" applyAlignment="1">
      <alignment vertical="top"/>
    </xf>
    <xf numFmtId="0" fontId="4" fillId="0" borderId="13" xfId="0" applyFont="1" applyBorder="1" applyAlignment="1">
      <alignment horizontal="left" vertical="top"/>
    </xf>
    <xf numFmtId="164" fontId="4" fillId="0" borderId="4" xfId="0" applyNumberFormat="1" applyFont="1" applyBorder="1" applyAlignment="1">
      <alignment horizontal="center" vertical="top"/>
    </xf>
    <xf numFmtId="164" fontId="9" fillId="0" borderId="6" xfId="0" applyNumberFormat="1" applyFont="1" applyBorder="1" applyAlignment="1">
      <alignment horizontal="center" vertical="center" wrapText="1"/>
    </xf>
    <xf numFmtId="0" fontId="9" fillId="0" borderId="6" xfId="0" applyFont="1" applyBorder="1" applyAlignment="1">
      <alignment horizontal="center" vertical="center" wrapText="1"/>
    </xf>
    <xf numFmtId="0" fontId="4" fillId="0" borderId="4" xfId="0" applyFont="1" applyBorder="1" applyAlignment="1">
      <alignment vertical="top"/>
    </xf>
    <xf numFmtId="0" fontId="4" fillId="0" borderId="6" xfId="0" applyFont="1" applyBorder="1" applyAlignment="1">
      <alignment horizontal="left" vertical="top" wrapText="1" indent="3"/>
    </xf>
    <xf numFmtId="164" fontId="4" fillId="0" borderId="6" xfId="0" applyNumberFormat="1" applyFont="1" applyBorder="1" applyAlignment="1">
      <alignment vertical="top"/>
    </xf>
    <xf numFmtId="0" fontId="4" fillId="0" borderId="6" xfId="0" applyFont="1" applyBorder="1" applyAlignment="1">
      <alignment horizontal="center" vertical="center"/>
    </xf>
    <xf numFmtId="0" fontId="4" fillId="0" borderId="3" xfId="0" applyFont="1" applyBorder="1" applyAlignment="1">
      <alignment vertical="top"/>
    </xf>
    <xf numFmtId="164" fontId="4" fillId="0" borderId="0" xfId="0" applyNumberFormat="1" applyFont="1" applyAlignment="1">
      <alignment horizontal="left" vertical="top"/>
    </xf>
    <xf numFmtId="164" fontId="4" fillId="0" borderId="4" xfId="0" applyNumberFormat="1" applyFont="1" applyBorder="1" applyAlignment="1">
      <alignment horizontal="left" vertical="top" wrapText="1"/>
    </xf>
    <xf numFmtId="0" fontId="4" fillId="0" borderId="7" xfId="0" applyFont="1" applyBorder="1" applyAlignment="1">
      <alignment vertical="top"/>
    </xf>
    <xf numFmtId="0" fontId="4" fillId="0" borderId="15" xfId="0" applyFont="1" applyBorder="1" applyAlignment="1">
      <alignment horizontal="left" vertical="top" wrapText="1"/>
    </xf>
    <xf numFmtId="0" fontId="4" fillId="0" borderId="15" xfId="0" applyFont="1" applyBorder="1" applyAlignment="1">
      <alignment vertical="top" wrapText="1"/>
    </xf>
    <xf numFmtId="164" fontId="4" fillId="0" borderId="8" xfId="0" applyNumberFormat="1" applyFont="1" applyBorder="1" applyAlignment="1">
      <alignment horizontal="left" vertical="top" wrapText="1"/>
    </xf>
    <xf numFmtId="164" fontId="4" fillId="0" borderId="7" xfId="0" applyNumberFormat="1" applyFont="1" applyBorder="1" applyAlignment="1">
      <alignment horizontal="left" vertical="top" wrapText="1"/>
    </xf>
    <xf numFmtId="0" fontId="4" fillId="0" borderId="1" xfId="0" applyFont="1" applyBorder="1" applyAlignment="1">
      <alignment horizontal="left" vertical="top"/>
    </xf>
    <xf numFmtId="0" fontId="4" fillId="0" borderId="12" xfId="0" applyFont="1" applyBorder="1" applyAlignment="1">
      <alignment vertical="top"/>
    </xf>
    <xf numFmtId="0" fontId="26" fillId="0" borderId="0" xfId="0" applyFont="1" applyAlignment="1">
      <alignment vertical="top"/>
    </xf>
    <xf numFmtId="0" fontId="1" fillId="0" borderId="0" xfId="0" applyFont="1" applyAlignment="1">
      <alignment vertical="top"/>
    </xf>
    <xf numFmtId="0" fontId="26" fillId="0" borderId="2" xfId="0" applyFont="1" applyBorder="1" applyAlignment="1">
      <alignment vertical="top"/>
    </xf>
    <xf numFmtId="0" fontId="26" fillId="0" borderId="14" xfId="0" applyFont="1" applyBorder="1" applyAlignment="1">
      <alignment vertical="top"/>
    </xf>
    <xf numFmtId="0" fontId="26" fillId="0" borderId="3" xfId="0" applyFont="1" applyBorder="1" applyAlignment="1">
      <alignment vertical="top"/>
    </xf>
    <xf numFmtId="0" fontId="28" fillId="0" borderId="7" xfId="0" applyFont="1" applyBorder="1" applyAlignment="1">
      <alignment vertical="top"/>
    </xf>
    <xf numFmtId="164" fontId="26" fillId="0" borderId="0" xfId="0" applyNumberFormat="1" applyFont="1" applyAlignment="1">
      <alignment vertical="top"/>
    </xf>
    <xf numFmtId="0" fontId="28" fillId="0" borderId="8" xfId="0" applyFont="1" applyBorder="1" applyAlignment="1">
      <alignment vertical="top"/>
    </xf>
    <xf numFmtId="0" fontId="26" fillId="0" borderId="15" xfId="0" applyFont="1" applyBorder="1" applyAlignment="1">
      <alignment vertical="top"/>
    </xf>
    <xf numFmtId="0" fontId="28" fillId="0" borderId="3" xfId="0" applyFont="1" applyBorder="1" applyAlignment="1">
      <alignment vertical="top"/>
    </xf>
    <xf numFmtId="0" fontId="1" fillId="0" borderId="2" xfId="0" applyFont="1" applyBorder="1" applyAlignment="1">
      <alignment vertical="top" wrapText="1"/>
    </xf>
    <xf numFmtId="0" fontId="26" fillId="0" borderId="14" xfId="0" applyFont="1" applyBorder="1" applyAlignment="1">
      <alignment vertical="top" wrapText="1"/>
    </xf>
    <xf numFmtId="0" fontId="26" fillId="0" borderId="0" xfId="0" applyFont="1" applyAlignment="1">
      <alignment vertical="top" wrapText="1"/>
    </xf>
    <xf numFmtId="0" fontId="30" fillId="0" borderId="0" xfId="0" applyFont="1"/>
    <xf numFmtId="0" fontId="29" fillId="0" borderId="0" xfId="0" applyFont="1"/>
    <xf numFmtId="0" fontId="3" fillId="3" borderId="8" xfId="0" applyFont="1" applyFill="1" applyBorder="1" applyAlignment="1">
      <alignment horizontal="center" vertical="top" wrapText="1"/>
    </xf>
    <xf numFmtId="0" fontId="4" fillId="4" borderId="17" xfId="0" applyFont="1" applyFill="1" applyBorder="1" applyAlignment="1">
      <alignment horizontal="left" vertical="top" wrapText="1"/>
    </xf>
    <xf numFmtId="0" fontId="3" fillId="4" borderId="16" xfId="0" applyFont="1" applyFill="1" applyBorder="1" applyAlignment="1">
      <alignment vertical="center" wrapText="1"/>
    </xf>
    <xf numFmtId="0" fontId="3" fillId="4" borderId="20" xfId="0" applyFont="1" applyFill="1" applyBorder="1" applyAlignment="1">
      <alignment horizontal="center" vertical="top" wrapText="1"/>
    </xf>
    <xf numFmtId="0" fontId="30" fillId="0" borderId="0" xfId="0" applyFont="1" applyAlignment="1">
      <alignment horizontal="center" vertical="top" wrapText="1"/>
    </xf>
    <xf numFmtId="0" fontId="4" fillId="0" borderId="7" xfId="0" applyFont="1" applyBorder="1"/>
    <xf numFmtId="0" fontId="4" fillId="0" borderId="11" xfId="0" applyFont="1" applyBorder="1"/>
    <xf numFmtId="0" fontId="4" fillId="0" borderId="7" xfId="0" applyFont="1" applyBorder="1" applyAlignment="1">
      <alignment horizontal="left" vertical="top" wrapText="1"/>
    </xf>
    <xf numFmtId="0" fontId="4" fillId="0" borderId="3" xfId="0" applyFont="1" applyBorder="1"/>
    <xf numFmtId="0" fontId="4" fillId="0" borderId="1" xfId="0" applyFont="1" applyBorder="1"/>
    <xf numFmtId="0" fontId="4" fillId="0" borderId="3" xfId="0" applyFont="1" applyBorder="1" applyAlignment="1">
      <alignment horizontal="left" vertical="top" wrapText="1"/>
    </xf>
    <xf numFmtId="0" fontId="29" fillId="0" borderId="0" xfId="0" applyFont="1" applyAlignment="1">
      <alignment horizontal="right" vertical="top"/>
    </xf>
    <xf numFmtId="0" fontId="4" fillId="0" borderId="0" xfId="0" applyFont="1"/>
    <xf numFmtId="0" fontId="4" fillId="0" borderId="7" xfId="0" applyFont="1" applyBorder="1" applyAlignment="1">
      <alignment horizontal="center" vertical="center" wrapText="1"/>
    </xf>
    <xf numFmtId="0" fontId="4" fillId="0" borderId="8" xfId="0" applyFont="1" applyBorder="1" applyAlignment="1">
      <alignment horizontal="left" vertical="top" wrapText="1"/>
    </xf>
    <xf numFmtId="0" fontId="7" fillId="0" borderId="3" xfId="0" applyFont="1" applyBorder="1" applyAlignment="1">
      <alignment horizontal="left" vertical="top" wrapText="1"/>
    </xf>
    <xf numFmtId="0" fontId="30" fillId="0" borderId="12" xfId="0" applyFont="1" applyBorder="1"/>
    <xf numFmtId="164" fontId="4" fillId="0" borderId="8" xfId="0" applyNumberFormat="1" applyFont="1" applyBorder="1" applyAlignment="1">
      <alignment horizontal="right"/>
    </xf>
    <xf numFmtId="0" fontId="4" fillId="0" borderId="9" xfId="0" applyFont="1" applyBorder="1" applyAlignment="1">
      <alignment horizontal="left"/>
    </xf>
    <xf numFmtId="164" fontId="4" fillId="0" borderId="7" xfId="0" applyNumberFormat="1" applyFont="1" applyBorder="1" applyAlignment="1">
      <alignment horizontal="right"/>
    </xf>
    <xf numFmtId="0" fontId="4" fillId="0" borderId="11" xfId="0" applyFont="1" applyBorder="1" applyAlignment="1">
      <alignment horizontal="left"/>
    </xf>
    <xf numFmtId="0" fontId="4" fillId="0" borderId="7" xfId="0" applyFont="1" applyBorder="1" applyAlignment="1">
      <alignment horizontal="right"/>
    </xf>
    <xf numFmtId="0" fontId="4" fillId="0" borderId="3" xfId="0" applyFont="1" applyBorder="1" applyAlignment="1">
      <alignment horizontal="right"/>
    </xf>
    <xf numFmtId="0" fontId="4" fillId="0" borderId="1" xfId="0" applyFont="1" applyBorder="1" applyAlignment="1">
      <alignment horizontal="left"/>
    </xf>
    <xf numFmtId="0" fontId="4" fillId="0" borderId="8" xfId="0" applyFont="1" applyBorder="1" applyAlignment="1">
      <alignment vertical="center" wrapText="1"/>
    </xf>
    <xf numFmtId="0" fontId="4" fillId="0" borderId="8" xfId="0" applyFont="1" applyBorder="1" applyAlignment="1">
      <alignment horizontal="left" vertical="top"/>
    </xf>
    <xf numFmtId="164" fontId="4" fillId="0" borderId="15" xfId="0" applyNumberFormat="1" applyFont="1" applyBorder="1" applyAlignment="1">
      <alignment horizontal="right" vertical="center" wrapText="1"/>
    </xf>
    <xf numFmtId="0" fontId="4" fillId="0" borderId="7" xfId="0" applyFont="1" applyBorder="1" applyAlignment="1">
      <alignment horizontal="left" vertical="top"/>
    </xf>
    <xf numFmtId="164" fontId="4" fillId="0" borderId="0" xfId="0" applyNumberFormat="1" applyFont="1" applyAlignment="1">
      <alignment horizontal="right" vertical="top" wrapText="1"/>
    </xf>
    <xf numFmtId="0" fontId="30" fillId="0" borderId="0" xfId="0" applyFont="1" applyAlignment="1">
      <alignment wrapText="1"/>
    </xf>
    <xf numFmtId="0" fontId="4" fillId="0" borderId="0" xfId="0" applyFont="1" applyAlignment="1">
      <alignment horizontal="center" vertical="center" wrapText="1"/>
    </xf>
    <xf numFmtId="0" fontId="29" fillId="6" borderId="0" xfId="0" applyFont="1" applyFill="1" applyAlignment="1">
      <alignment horizontal="left" vertical="top" wrapText="1"/>
    </xf>
    <xf numFmtId="0" fontId="29" fillId="6" borderId="2" xfId="0" applyFont="1" applyFill="1" applyBorder="1" applyAlignment="1">
      <alignment horizontal="left" vertical="top" wrapText="1"/>
    </xf>
    <xf numFmtId="0" fontId="4" fillId="0" borderId="21" xfId="0" applyFont="1" applyBorder="1" applyAlignment="1">
      <alignment vertical="center" wrapText="1"/>
    </xf>
    <xf numFmtId="0" fontId="30" fillId="0" borderId="0" xfId="0" applyFont="1" applyAlignment="1">
      <alignment horizontal="right" vertical="top"/>
    </xf>
    <xf numFmtId="0" fontId="30" fillId="0" borderId="0" xfId="0" applyFont="1" applyAlignment="1">
      <alignment horizontal="left" vertical="top"/>
    </xf>
    <xf numFmtId="0" fontId="30" fillId="0" borderId="0" xfId="0" applyFont="1" applyAlignment="1">
      <alignment horizontal="right"/>
    </xf>
    <xf numFmtId="0" fontId="32" fillId="0" borderId="0" xfId="0" applyFont="1"/>
    <xf numFmtId="0" fontId="3" fillId="0" borderId="10" xfId="0" applyFont="1" applyBorder="1" applyAlignment="1">
      <alignment vertical="top" wrapText="1"/>
    </xf>
    <xf numFmtId="0" fontId="4" fillId="0" borderId="9" xfId="0" applyFont="1" applyBorder="1"/>
    <xf numFmtId="164" fontId="4" fillId="0" borderId="15" xfId="0" applyNumberFormat="1" applyFont="1" applyBorder="1" applyAlignment="1">
      <alignment horizontal="right" vertical="top"/>
    </xf>
    <xf numFmtId="0" fontId="4" fillId="0" borderId="15" xfId="0" applyFont="1" applyBorder="1" applyAlignment="1">
      <alignment horizontal="left" vertical="top"/>
    </xf>
    <xf numFmtId="0" fontId="4" fillId="0" borderId="15" xfId="0" applyFont="1" applyBorder="1" applyAlignment="1">
      <alignment vertical="center" wrapText="1"/>
    </xf>
    <xf numFmtId="164" fontId="4" fillId="0" borderId="0" xfId="0" applyNumberFormat="1" applyFont="1" applyAlignment="1">
      <alignment horizontal="right" vertical="top"/>
    </xf>
    <xf numFmtId="0" fontId="4" fillId="0" borderId="3" xfId="0" applyFont="1" applyBorder="1" applyAlignment="1">
      <alignment horizontal="left" vertical="top"/>
    </xf>
    <xf numFmtId="0" fontId="4" fillId="0" borderId="2" xfId="0" applyFont="1" applyBorder="1"/>
    <xf numFmtId="0" fontId="4" fillId="0" borderId="7" xfId="0" applyFont="1" applyBorder="1" applyAlignment="1">
      <alignment vertical="center" wrapText="1"/>
    </xf>
    <xf numFmtId="0" fontId="3" fillId="3" borderId="6" xfId="0" applyFont="1" applyFill="1" applyBorder="1" applyAlignment="1">
      <alignment vertical="top" wrapText="1"/>
    </xf>
    <xf numFmtId="0" fontId="3" fillId="5" borderId="13" xfId="0" applyFont="1" applyFill="1" applyBorder="1" applyAlignment="1">
      <alignment vertical="top" wrapText="1"/>
    </xf>
    <xf numFmtId="0" fontId="4" fillId="0" borderId="0" xfId="0" applyFont="1" applyAlignment="1">
      <alignment horizontal="right"/>
    </xf>
    <xf numFmtId="0" fontId="30" fillId="0" borderId="0" xfId="0" applyFont="1" applyAlignment="1">
      <alignment vertical="top"/>
    </xf>
    <xf numFmtId="0" fontId="30" fillId="0" borderId="8" xfId="0" applyFont="1" applyBorder="1"/>
    <xf numFmtId="0" fontId="7" fillId="0" borderId="0" xfId="0" applyFont="1" applyAlignment="1">
      <alignment vertical="top" wrapText="1"/>
    </xf>
    <xf numFmtId="0" fontId="33" fillId="0" borderId="7" xfId="0" applyFont="1" applyBorder="1" applyAlignment="1">
      <alignment vertical="top"/>
    </xf>
    <xf numFmtId="0" fontId="4" fillId="0" borderId="11" xfId="0" applyFont="1" applyBorder="1" applyAlignment="1">
      <alignment horizontal="center" vertical="top"/>
    </xf>
    <xf numFmtId="0" fontId="4" fillId="0" borderId="7" xfId="0" applyFont="1" applyBorder="1" applyAlignment="1">
      <alignment horizontal="center" vertical="top" wrapText="1"/>
    </xf>
    <xf numFmtId="0" fontId="4" fillId="0" borderId="7" xfId="0" applyFont="1" applyBorder="1" applyAlignment="1">
      <alignment horizontal="center" vertical="top"/>
    </xf>
    <xf numFmtId="0" fontId="25" fillId="0" borderId="0" xfId="0" applyFont="1"/>
    <xf numFmtId="0" fontId="4" fillId="0" borderId="2" xfId="0" applyFont="1" applyBorder="1" applyAlignment="1">
      <alignment horizontal="left" vertical="top" wrapText="1"/>
    </xf>
    <xf numFmtId="0" fontId="4" fillId="0" borderId="3" xfId="0" applyFont="1" applyBorder="1" applyAlignment="1">
      <alignment horizontal="center" vertical="top"/>
    </xf>
    <xf numFmtId="0" fontId="4" fillId="0" borderId="15" xfId="0" applyFont="1" applyBorder="1" applyAlignment="1">
      <alignment horizontal="center" vertical="top"/>
    </xf>
    <xf numFmtId="0" fontId="4" fillId="0" borderId="9" xfId="0" applyFont="1" applyBorder="1" applyAlignment="1">
      <alignment horizontal="center" vertical="top"/>
    </xf>
    <xf numFmtId="0" fontId="4" fillId="0" borderId="0" xfId="0" applyFont="1" applyAlignment="1">
      <alignment horizontal="center" vertical="top"/>
    </xf>
    <xf numFmtId="0" fontId="4" fillId="0" borderId="2" xfId="0" applyFont="1" applyBorder="1" applyAlignment="1">
      <alignment horizontal="center" vertical="top"/>
    </xf>
    <xf numFmtId="0" fontId="33" fillId="0" borderId="8" xfId="0" applyFont="1" applyBorder="1" applyAlignment="1">
      <alignment vertical="top"/>
    </xf>
    <xf numFmtId="0" fontId="4" fillId="0" borderId="4" xfId="0" applyFont="1" applyBorder="1" applyAlignment="1">
      <alignment horizontal="center" vertical="top"/>
    </xf>
    <xf numFmtId="0" fontId="4" fillId="0" borderId="5" xfId="0" applyFont="1" applyBorder="1" applyAlignment="1">
      <alignment horizontal="center" vertical="top"/>
    </xf>
    <xf numFmtId="0" fontId="30" fillId="0" borderId="9" xfId="0" applyFont="1" applyBorder="1"/>
    <xf numFmtId="0" fontId="4" fillId="0" borderId="8" xfId="0" applyFont="1" applyBorder="1" applyAlignment="1">
      <alignment horizontal="center" vertical="top"/>
    </xf>
    <xf numFmtId="0" fontId="25" fillId="0" borderId="30" xfId="0" applyFont="1" applyBorder="1" applyAlignment="1" applyProtection="1">
      <alignment vertical="top"/>
      <protection locked="0"/>
    </xf>
    <xf numFmtId="0" fontId="34" fillId="0" borderId="0" xfId="0" applyFont="1" applyAlignment="1">
      <alignment vertical="top" wrapText="1"/>
    </xf>
    <xf numFmtId="0" fontId="9" fillId="0" borderId="0" xfId="0" applyFont="1" applyAlignment="1">
      <alignment vertical="center" wrapText="1"/>
    </xf>
    <xf numFmtId="0" fontId="5" fillId="0" borderId="8" xfId="0" applyFont="1" applyBorder="1" applyAlignment="1">
      <alignment horizontal="right" vertical="top" wrapText="1"/>
    </xf>
    <xf numFmtId="0" fontId="5" fillId="0" borderId="7" xfId="0" applyFont="1" applyBorder="1" applyAlignment="1">
      <alignment horizontal="right" vertical="top" wrapText="1"/>
    </xf>
    <xf numFmtId="0" fontId="5" fillId="0" borderId="3" xfId="0" applyFont="1" applyBorder="1" applyAlignment="1">
      <alignment horizontal="right" vertical="top"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164" fontId="4" fillId="0" borderId="10" xfId="0" applyNumberFormat="1" applyFont="1" applyBorder="1" applyAlignment="1">
      <alignment horizontal="left" vertical="center" wrapText="1"/>
    </xf>
    <xf numFmtId="164" fontId="4" fillId="0" borderId="8" xfId="0" applyNumberFormat="1" applyFont="1" applyBorder="1" applyAlignment="1">
      <alignment horizontal="left" vertical="center" wrapText="1"/>
    </xf>
    <xf numFmtId="0" fontId="7" fillId="0" borderId="6" xfId="0" applyFont="1" applyBorder="1" applyAlignment="1">
      <alignment horizontal="center" vertical="center" wrapText="1"/>
    </xf>
    <xf numFmtId="0" fontId="4" fillId="0" borderId="6" xfId="0" applyFont="1" applyBorder="1" applyAlignment="1">
      <alignment horizontal="center" vertical="center" wrapText="1"/>
    </xf>
    <xf numFmtId="0" fontId="20" fillId="0" borderId="0" xfId="0" applyFont="1" applyAlignment="1">
      <alignment horizontal="right"/>
    </xf>
    <xf numFmtId="0" fontId="4" fillId="0" borderId="6" xfId="0" applyFont="1" applyBorder="1" applyAlignment="1">
      <alignment vertical="center" wrapText="1"/>
    </xf>
    <xf numFmtId="0" fontId="36" fillId="0" borderId="6" xfId="0" applyFont="1" applyBorder="1" applyAlignment="1">
      <alignment vertical="center" wrapText="1"/>
    </xf>
    <xf numFmtId="0" fontId="36" fillId="0" borderId="6" xfId="0" applyFont="1" applyBorder="1" applyAlignment="1">
      <alignment horizontal="center" vertical="center" wrapText="1"/>
    </xf>
    <xf numFmtId="0" fontId="5" fillId="0" borderId="0" xfId="0" applyFont="1" applyAlignment="1">
      <alignment vertical="center" wrapText="1"/>
    </xf>
    <xf numFmtId="0" fontId="36" fillId="0" borderId="0" xfId="0" applyFont="1" applyAlignment="1">
      <alignment vertical="center" wrapText="1"/>
    </xf>
    <xf numFmtId="164" fontId="4" fillId="0" borderId="0" xfId="0" applyNumberFormat="1" applyFont="1" applyAlignment="1">
      <alignment horizontal="left"/>
    </xf>
    <xf numFmtId="0" fontId="4" fillId="0" borderId="4" xfId="0" applyFont="1" applyBorder="1" applyAlignment="1">
      <alignment horizontal="left" vertical="top"/>
    </xf>
    <xf numFmtId="0" fontId="4" fillId="0" borderId="5" xfId="0" applyFont="1" applyBorder="1" applyAlignment="1">
      <alignment horizontal="left" vertical="top"/>
    </xf>
    <xf numFmtId="0" fontId="4" fillId="0" borderId="29" xfId="0" applyFont="1" applyBorder="1" applyAlignment="1">
      <alignment horizontal="left" vertical="top" wrapText="1"/>
    </xf>
    <xf numFmtId="164" fontId="4" fillId="0" borderId="33" xfId="0" applyNumberFormat="1" applyFont="1" applyBorder="1" applyAlignment="1">
      <alignment horizontal="right" vertical="top" wrapText="1"/>
    </xf>
    <xf numFmtId="164" fontId="4" fillId="0" borderId="34" xfId="0" applyNumberFormat="1" applyFont="1" applyBorder="1" applyAlignment="1">
      <alignment horizontal="right" vertical="top" wrapText="1"/>
    </xf>
    <xf numFmtId="0" fontId="4" fillId="0" borderId="32" xfId="0" applyFont="1" applyBorder="1" applyAlignment="1">
      <alignment vertical="top" wrapText="1"/>
    </xf>
    <xf numFmtId="164" fontId="4" fillId="0" borderId="35" xfId="0" applyNumberFormat="1" applyFont="1" applyBorder="1" applyAlignment="1">
      <alignment horizontal="right" vertical="top" wrapText="1"/>
    </xf>
    <xf numFmtId="0" fontId="4" fillId="3" borderId="5" xfId="0" applyFont="1" applyFill="1" applyBorder="1" applyAlignment="1">
      <alignment horizontal="center" vertical="top"/>
    </xf>
    <xf numFmtId="0" fontId="37" fillId="0" borderId="0" xfId="0" applyFont="1" applyAlignment="1">
      <alignment horizontal="center" vertical="top"/>
    </xf>
    <xf numFmtId="0" fontId="4" fillId="0" borderId="0" xfId="0" applyFont="1" applyAlignment="1">
      <alignment horizontal="right" vertical="top"/>
    </xf>
    <xf numFmtId="0" fontId="3" fillId="0" borderId="0" xfId="0" applyFont="1" applyAlignment="1">
      <alignment horizontal="left" vertical="top"/>
    </xf>
    <xf numFmtId="0" fontId="4" fillId="3" borderId="4" xfId="0" applyFont="1" applyFill="1" applyBorder="1" applyAlignment="1">
      <alignment horizontal="center" vertical="top" wrapText="1"/>
    </xf>
    <xf numFmtId="0" fontId="4" fillId="0" borderId="2" xfId="0" applyFont="1" applyBorder="1" applyAlignment="1">
      <alignment vertical="top"/>
    </xf>
    <xf numFmtId="164" fontId="4" fillId="0" borderId="15" xfId="0" applyNumberFormat="1" applyFont="1" applyBorder="1" applyAlignment="1">
      <alignment horizontal="right" vertical="top" wrapText="1"/>
    </xf>
    <xf numFmtId="0" fontId="4" fillId="0" borderId="12" xfId="0" applyFont="1" applyBorder="1" applyAlignment="1">
      <alignment horizontal="left" vertical="top"/>
    </xf>
    <xf numFmtId="164" fontId="4" fillId="0" borderId="2" xfId="0" applyNumberFormat="1" applyFont="1" applyBorder="1" applyAlignment="1">
      <alignment horizontal="right" vertical="top" wrapText="1"/>
    </xf>
    <xf numFmtId="164" fontId="4" fillId="0" borderId="1" xfId="0" applyNumberFormat="1" applyFont="1" applyBorder="1" applyAlignment="1">
      <alignment horizontal="left" vertical="top" wrapText="1"/>
    </xf>
    <xf numFmtId="164" fontId="4" fillId="0" borderId="15" xfId="0" applyNumberFormat="1" applyFont="1" applyBorder="1" applyAlignment="1">
      <alignment horizontal="center" vertical="top"/>
    </xf>
    <xf numFmtId="0" fontId="30" fillId="0" borderId="11" xfId="0" applyFont="1" applyBorder="1" applyAlignment="1">
      <alignment horizontal="left"/>
    </xf>
    <xf numFmtId="0" fontId="4" fillId="0" borderId="36" xfId="0" applyFont="1" applyBorder="1" applyAlignment="1">
      <alignment horizontal="left" vertical="center" wrapText="1"/>
    </xf>
    <xf numFmtId="0" fontId="4" fillId="0" borderId="38" xfId="0" applyFont="1" applyBorder="1" applyAlignment="1">
      <alignment horizontal="left" vertical="center" wrapText="1"/>
    </xf>
    <xf numFmtId="0" fontId="4" fillId="0" borderId="40" xfId="0" applyFont="1" applyBorder="1" applyAlignment="1">
      <alignment horizontal="left" vertical="center" wrapText="1"/>
    </xf>
    <xf numFmtId="0" fontId="30" fillId="0" borderId="9" xfId="0" applyFont="1" applyBorder="1" applyAlignment="1">
      <alignment horizontal="left"/>
    </xf>
    <xf numFmtId="0" fontId="30" fillId="0" borderId="3" xfId="0" applyFont="1" applyBorder="1" applyAlignment="1">
      <alignment horizontal="right"/>
    </xf>
    <xf numFmtId="0" fontId="30" fillId="0" borderId="1" xfId="0" applyFont="1" applyBorder="1" applyAlignment="1">
      <alignment horizontal="left"/>
    </xf>
    <xf numFmtId="164" fontId="4" fillId="0" borderId="4" xfId="0" applyNumberFormat="1" applyFont="1" applyBorder="1" applyAlignment="1">
      <alignment horizontal="right" vertical="top" wrapText="1"/>
    </xf>
    <xf numFmtId="0" fontId="4" fillId="0" borderId="5" xfId="0" applyFont="1" applyBorder="1" applyAlignment="1">
      <alignment horizontal="left" vertical="top" wrapText="1"/>
    </xf>
    <xf numFmtId="0" fontId="4" fillId="0" borderId="8" xfId="0" applyFont="1" applyBorder="1"/>
    <xf numFmtId="0" fontId="4" fillId="0" borderId="15" xfId="0" applyFont="1" applyBorder="1" applyAlignment="1">
      <alignment horizontal="left"/>
    </xf>
    <xf numFmtId="164" fontId="4" fillId="0" borderId="10" xfId="0" applyNumberFormat="1" applyFont="1" applyBorder="1" applyAlignment="1">
      <alignment horizontal="left" vertical="top"/>
    </xf>
    <xf numFmtId="164" fontId="4" fillId="0" borderId="12" xfId="0" applyNumberFormat="1" applyFont="1" applyBorder="1" applyAlignment="1">
      <alignment horizontal="left" vertical="top" wrapText="1"/>
    </xf>
    <xf numFmtId="164" fontId="4" fillId="0" borderId="13" xfId="0" applyNumberFormat="1" applyFont="1" applyBorder="1" applyAlignment="1">
      <alignment horizontal="left" vertical="top" wrapText="1"/>
    </xf>
    <xf numFmtId="164" fontId="4" fillId="0" borderId="6" xfId="0" applyNumberFormat="1" applyFont="1" applyBorder="1" applyAlignment="1">
      <alignment horizontal="left" vertical="top"/>
    </xf>
    <xf numFmtId="0" fontId="4" fillId="0" borderId="10" xfId="0" applyFont="1" applyBorder="1" applyAlignment="1">
      <alignment horizontal="left" vertical="top"/>
    </xf>
    <xf numFmtId="164" fontId="4" fillId="0" borderId="41" xfId="0" applyNumberFormat="1" applyFont="1" applyBorder="1" applyAlignment="1">
      <alignment horizontal="left" vertical="top" wrapText="1"/>
    </xf>
    <xf numFmtId="164" fontId="4" fillId="0" borderId="42" xfId="0" applyNumberFormat="1" applyFont="1" applyBorder="1" applyAlignment="1">
      <alignment horizontal="left" vertical="top" wrapText="1"/>
    </xf>
    <xf numFmtId="0" fontId="4" fillId="0" borderId="6" xfId="0" applyFont="1" applyBorder="1" applyAlignment="1">
      <alignment horizontal="left" vertical="top"/>
    </xf>
    <xf numFmtId="164" fontId="4" fillId="0" borderId="10" xfId="0" applyNumberFormat="1" applyFont="1" applyBorder="1" applyAlignment="1">
      <alignment horizontal="left" vertical="top" wrapText="1"/>
    </xf>
    <xf numFmtId="164" fontId="4" fillId="0" borderId="6" xfId="0" applyNumberFormat="1" applyFont="1" applyBorder="1" applyAlignment="1">
      <alignment horizontal="left" vertical="top" wrapText="1"/>
    </xf>
    <xf numFmtId="0" fontId="29" fillId="0" borderId="6" xfId="0" applyFont="1" applyBorder="1" applyAlignment="1">
      <alignment horizontal="left" vertical="top"/>
    </xf>
    <xf numFmtId="0" fontId="0" fillId="0" borderId="0" xfId="0" applyAlignment="1">
      <alignment horizontal="left"/>
    </xf>
    <xf numFmtId="0" fontId="33" fillId="0" borderId="7" xfId="0" applyFont="1" applyBorder="1"/>
    <xf numFmtId="0" fontId="33" fillId="0" borderId="3" xfId="0" applyFont="1" applyBorder="1" applyAlignment="1">
      <alignment vertical="top"/>
    </xf>
    <xf numFmtId="164" fontId="4" fillId="0" borderId="3" xfId="0" applyNumberFormat="1" applyFont="1" applyBorder="1" applyAlignment="1">
      <alignment horizontal="left" vertical="top" wrapText="1"/>
    </xf>
    <xf numFmtId="0" fontId="0" fillId="0" borderId="7" xfId="0" applyBorder="1" applyAlignment="1">
      <alignment horizontal="left"/>
    </xf>
    <xf numFmtId="0" fontId="0" fillId="0" borderId="11" xfId="0" applyBorder="1" applyAlignment="1">
      <alignment horizontal="left"/>
    </xf>
    <xf numFmtId="0" fontId="0" fillId="0" borderId="11" xfId="0" applyBorder="1"/>
    <xf numFmtId="0" fontId="0" fillId="0" borderId="1" xfId="0" applyBorder="1"/>
    <xf numFmtId="164" fontId="4" fillId="0" borderId="14" xfId="0" applyNumberFormat="1" applyFont="1" applyBorder="1" applyAlignment="1">
      <alignment horizontal="left" vertical="top" wrapText="1"/>
    </xf>
    <xf numFmtId="164" fontId="4" fillId="0" borderId="43" xfId="0" applyNumberFormat="1" applyFont="1" applyBorder="1" applyAlignment="1">
      <alignment horizontal="left" vertical="top" wrapText="1"/>
    </xf>
    <xf numFmtId="0" fontId="4" fillId="0" borderId="44" xfId="0" applyFont="1" applyBorder="1" applyAlignment="1">
      <alignment vertical="center" wrapText="1"/>
    </xf>
    <xf numFmtId="0" fontId="4" fillId="0" borderId="45" xfId="0" applyFont="1" applyBorder="1" applyAlignment="1">
      <alignment vertical="center" wrapText="1"/>
    </xf>
    <xf numFmtId="0" fontId="0" fillId="0" borderId="4" xfId="0" applyBorder="1"/>
    <xf numFmtId="0" fontId="0" fillId="0" borderId="14" xfId="0" applyBorder="1"/>
    <xf numFmtId="0" fontId="0" fillId="0" borderId="8" xfId="0" applyBorder="1"/>
    <xf numFmtId="164" fontId="4" fillId="0" borderId="52" xfId="0" applyNumberFormat="1" applyFont="1" applyBorder="1" applyAlignment="1">
      <alignment horizontal="right" vertical="top" wrapText="1"/>
    </xf>
    <xf numFmtId="164" fontId="4" fillId="0" borderId="2" xfId="0" applyNumberFormat="1" applyFont="1" applyBorder="1"/>
    <xf numFmtId="164" fontId="0" fillId="0" borderId="0" xfId="0" applyNumberFormat="1"/>
    <xf numFmtId="0" fontId="4" fillId="6" borderId="14" xfId="0" applyFont="1" applyFill="1" applyBorder="1" applyAlignment="1">
      <alignment horizontal="center" vertical="top" wrapText="1"/>
    </xf>
    <xf numFmtId="0" fontId="4" fillId="0" borderId="8" xfId="0" applyFont="1" applyBorder="1" applyAlignment="1">
      <alignment vertical="top"/>
    </xf>
    <xf numFmtId="0" fontId="30" fillId="0" borderId="3" xfId="0" applyFont="1" applyBorder="1" applyAlignment="1">
      <alignment vertical="top"/>
    </xf>
    <xf numFmtId="0" fontId="30" fillId="0" borderId="1" xfId="0" applyFont="1" applyBorder="1" applyAlignment="1">
      <alignment vertical="top"/>
    </xf>
    <xf numFmtId="0" fontId="30" fillId="0" borderId="4" xfId="0" applyFont="1" applyBorder="1" applyAlignment="1">
      <alignment vertical="top"/>
    </xf>
    <xf numFmtId="0" fontId="30" fillId="0" borderId="5" xfId="0" applyFont="1" applyBorder="1" applyAlignment="1">
      <alignment vertical="top"/>
    </xf>
    <xf numFmtId="0" fontId="4" fillId="6" borderId="4" xfId="0" applyFont="1" applyFill="1" applyBorder="1" applyAlignment="1">
      <alignment wrapText="1"/>
    </xf>
    <xf numFmtId="0" fontId="4" fillId="6" borderId="3" xfId="0" applyFont="1" applyFill="1" applyBorder="1" applyAlignment="1">
      <alignment horizontal="center" vertical="top" wrapText="1"/>
    </xf>
    <xf numFmtId="164" fontId="4" fillId="6" borderId="3" xfId="0" applyNumberFormat="1" applyFont="1" applyFill="1" applyBorder="1" applyAlignment="1">
      <alignment horizontal="center" vertical="top"/>
    </xf>
    <xf numFmtId="0" fontId="4" fillId="6" borderId="1" xfId="0" applyFont="1" applyFill="1" applyBorder="1" applyAlignment="1">
      <alignment horizontal="center" vertical="top"/>
    </xf>
    <xf numFmtId="0" fontId="4" fillId="6" borderId="14" xfId="0" applyFont="1" applyFill="1" applyBorder="1" applyAlignment="1">
      <alignment horizontal="left" vertical="top" wrapText="1"/>
    </xf>
    <xf numFmtId="0" fontId="3" fillId="6" borderId="56" xfId="0" applyFont="1" applyFill="1" applyBorder="1" applyAlignment="1">
      <alignment horizontal="left" vertical="top" wrapText="1"/>
    </xf>
    <xf numFmtId="0" fontId="30" fillId="0" borderId="8" xfId="0" applyFont="1" applyBorder="1" applyAlignment="1">
      <alignment vertical="top" wrapText="1"/>
    </xf>
    <xf numFmtId="0" fontId="30" fillId="0" borderId="15" xfId="0" applyFont="1" applyBorder="1" applyAlignment="1">
      <alignment vertical="top" wrapText="1"/>
    </xf>
    <xf numFmtId="0" fontId="30" fillId="0" borderId="7" xfId="0" applyFont="1" applyBorder="1" applyAlignment="1">
      <alignment vertical="top" wrapText="1"/>
    </xf>
    <xf numFmtId="0" fontId="30" fillId="0" borderId="0" xfId="0" applyFont="1" applyAlignment="1">
      <alignment vertical="top" wrapText="1"/>
    </xf>
    <xf numFmtId="0" fontId="4" fillId="6" borderId="4" xfId="0" applyFont="1" applyFill="1" applyBorder="1" applyAlignment="1">
      <alignment horizontal="center" vertical="top" wrapText="1"/>
    </xf>
    <xf numFmtId="0" fontId="4" fillId="0" borderId="7" xfId="0" applyFont="1" applyBorder="1" applyAlignment="1">
      <alignment horizontal="right" vertical="top"/>
    </xf>
    <xf numFmtId="0" fontId="4" fillId="0" borderId="3" xfId="0" applyFont="1" applyBorder="1" applyAlignment="1">
      <alignment horizontal="right" vertical="top"/>
    </xf>
    <xf numFmtId="0" fontId="3" fillId="6" borderId="9" xfId="0" applyFont="1" applyFill="1" applyBorder="1" applyAlignment="1">
      <alignment horizontal="left" vertical="top" wrapText="1"/>
    </xf>
    <xf numFmtId="0" fontId="3" fillId="6" borderId="10" xfId="0" applyFont="1" applyFill="1" applyBorder="1" applyAlignment="1">
      <alignment horizontal="left" vertical="top" wrapText="1"/>
    </xf>
    <xf numFmtId="0" fontId="3" fillId="6" borderId="5" xfId="0" applyFont="1" applyFill="1" applyBorder="1" applyAlignment="1">
      <alignment horizontal="left" vertical="top" wrapText="1"/>
    </xf>
    <xf numFmtId="0" fontId="4" fillId="6" borderId="5" xfId="0" applyFont="1" applyFill="1" applyBorder="1" applyAlignment="1">
      <alignment horizontal="center" vertical="top"/>
    </xf>
    <xf numFmtId="164" fontId="4" fillId="6" borderId="4" xfId="0" applyNumberFormat="1" applyFont="1" applyFill="1" applyBorder="1" applyAlignment="1">
      <alignment horizontal="center" vertical="top"/>
    </xf>
    <xf numFmtId="0" fontId="3" fillId="0" borderId="14" xfId="0" applyFont="1" applyBorder="1" applyAlignment="1">
      <alignment horizontal="center" vertical="top" wrapText="1"/>
    </xf>
    <xf numFmtId="0" fontId="3" fillId="0" borderId="5" xfId="0" applyFont="1" applyBorder="1" applyAlignment="1">
      <alignment horizontal="center" vertical="top" wrapText="1"/>
    </xf>
    <xf numFmtId="0" fontId="3" fillId="0" borderId="0" xfId="0" applyFont="1" applyAlignment="1">
      <alignment horizontal="left" vertical="center" wrapText="1"/>
    </xf>
    <xf numFmtId="0" fontId="4" fillId="0" borderId="4" xfId="0" applyFont="1" applyBorder="1" applyAlignment="1">
      <alignment horizontal="left" vertical="top" wrapText="1"/>
    </xf>
    <xf numFmtId="0" fontId="4" fillId="0" borderId="13" xfId="0" applyFont="1" applyBorder="1" applyAlignment="1">
      <alignment horizontal="left" vertical="top" wrapText="1"/>
    </xf>
    <xf numFmtId="0" fontId="4" fillId="3" borderId="14" xfId="0" applyFont="1" applyFill="1" applyBorder="1" applyAlignment="1">
      <alignment horizontal="center" vertical="top" wrapText="1"/>
    </xf>
    <xf numFmtId="0" fontId="3" fillId="0" borderId="4" xfId="0" applyFont="1" applyBorder="1" applyAlignment="1">
      <alignment horizontal="left" vertical="top" wrapText="1"/>
    </xf>
    <xf numFmtId="0" fontId="4" fillId="0" borderId="11" xfId="0" applyFont="1" applyBorder="1" applyAlignment="1">
      <alignment vertical="center" wrapText="1"/>
    </xf>
    <xf numFmtId="0" fontId="4" fillId="0" borderId="14" xfId="0" applyFont="1" applyBorder="1" applyAlignment="1">
      <alignment horizontal="left" vertical="center" wrapText="1"/>
    </xf>
    <xf numFmtId="0" fontId="0" fillId="0" borderId="0" xfId="0" applyAlignment="1">
      <alignment horizontal="left" vertical="top"/>
    </xf>
    <xf numFmtId="0" fontId="30" fillId="3" borderId="4" xfId="0" applyFont="1" applyFill="1" applyBorder="1"/>
    <xf numFmtId="0" fontId="4" fillId="3" borderId="5" xfId="0" applyFont="1" applyFill="1" applyBorder="1" applyAlignment="1">
      <alignment horizontal="left" vertical="top" wrapText="1"/>
    </xf>
    <xf numFmtId="0" fontId="3" fillId="0" borderId="8" xfId="0" applyFont="1" applyBorder="1" applyAlignment="1">
      <alignment horizontal="left" vertical="top" wrapText="1"/>
    </xf>
    <xf numFmtId="0" fontId="30" fillId="0" borderId="9" xfId="0" applyFont="1" applyBorder="1" applyAlignment="1">
      <alignment horizontal="left" vertical="top"/>
    </xf>
    <xf numFmtId="0" fontId="3" fillId="0" borderId="7" xfId="0" applyFont="1" applyBorder="1" applyAlignment="1">
      <alignment horizontal="left" vertical="top" wrapText="1"/>
    </xf>
    <xf numFmtId="0" fontId="30" fillId="0" borderId="11" xfId="0" applyFont="1" applyBorder="1" applyAlignment="1">
      <alignment horizontal="left" vertical="top"/>
    </xf>
    <xf numFmtId="20" fontId="0" fillId="0" borderId="0" xfId="0" applyNumberFormat="1"/>
    <xf numFmtId="0" fontId="4" fillId="0" borderId="8" xfId="0" applyFont="1" applyBorder="1" applyAlignment="1">
      <alignment vertical="top" wrapText="1"/>
    </xf>
    <xf numFmtId="0" fontId="4" fillId="0" borderId="7" xfId="0" applyFont="1" applyBorder="1" applyAlignment="1">
      <alignment vertical="top" wrapText="1"/>
    </xf>
    <xf numFmtId="0" fontId="4" fillId="0" borderId="3" xfId="0" applyFont="1" applyBorder="1" applyAlignment="1">
      <alignment vertical="top" wrapText="1"/>
    </xf>
    <xf numFmtId="0" fontId="30" fillId="0" borderId="1" xfId="0" applyFont="1" applyBorder="1" applyAlignment="1">
      <alignment horizontal="left" vertical="top"/>
    </xf>
    <xf numFmtId="0" fontId="30" fillId="0" borderId="5" xfId="0" applyFont="1" applyBorder="1" applyAlignment="1">
      <alignment horizontal="left" vertical="top"/>
    </xf>
    <xf numFmtId="0" fontId="30" fillId="0" borderId="3" xfId="0" applyFont="1" applyBorder="1"/>
    <xf numFmtId="0" fontId="30" fillId="0" borderId="3" xfId="0" applyFont="1" applyBorder="1" applyAlignment="1">
      <alignment horizontal="left" vertical="top"/>
    </xf>
    <xf numFmtId="0" fontId="33" fillId="0" borderId="7" xfId="0" applyFont="1" applyBorder="1" applyAlignment="1">
      <alignment horizontal="left" vertical="top"/>
    </xf>
    <xf numFmtId="164" fontId="4" fillId="0" borderId="3" xfId="0" applyNumberFormat="1" applyFont="1" applyBorder="1" applyAlignment="1">
      <alignment vertical="top" wrapText="1"/>
    </xf>
    <xf numFmtId="0" fontId="30" fillId="0" borderId="7" xfId="0" applyFont="1" applyBorder="1"/>
    <xf numFmtId="0" fontId="3" fillId="0" borderId="13" xfId="0" applyFont="1" applyBorder="1" applyAlignment="1">
      <alignment vertical="top" wrapText="1"/>
    </xf>
    <xf numFmtId="164" fontId="30" fillId="0" borderId="11" xfId="0" applyNumberFormat="1" applyFont="1" applyBorder="1" applyAlignment="1">
      <alignment horizontal="left" vertical="top" wrapText="1"/>
    </xf>
    <xf numFmtId="164" fontId="30" fillId="0" borderId="9" xfId="0" applyNumberFormat="1" applyFont="1" applyBorder="1" applyAlignment="1">
      <alignment horizontal="left" vertical="top" wrapText="1"/>
    </xf>
    <xf numFmtId="0" fontId="30" fillId="0" borderId="8" xfId="0" applyFont="1" applyBorder="1" applyAlignment="1">
      <alignment horizontal="left" vertical="top"/>
    </xf>
    <xf numFmtId="0" fontId="30" fillId="0" borderId="7" xfId="0" applyFont="1" applyBorder="1" applyAlignment="1">
      <alignment horizontal="left" vertical="top"/>
    </xf>
    <xf numFmtId="164" fontId="30" fillId="0" borderId="1" xfId="0" applyNumberFormat="1" applyFont="1" applyBorder="1" applyAlignment="1">
      <alignment horizontal="left" vertical="top" wrapText="1"/>
    </xf>
    <xf numFmtId="0" fontId="6" fillId="0" borderId="9" xfId="0" applyFont="1" applyBorder="1" applyAlignment="1">
      <alignment vertical="top" wrapText="1"/>
    </xf>
    <xf numFmtId="0" fontId="6" fillId="0" borderId="5" xfId="0" applyFont="1" applyBorder="1" applyAlignment="1">
      <alignment vertical="top" wrapText="1"/>
    </xf>
    <xf numFmtId="164" fontId="4" fillId="0" borderId="8" xfId="0" applyNumberFormat="1" applyFont="1" applyBorder="1" applyAlignment="1">
      <alignment horizontal="center" vertical="top"/>
    </xf>
    <xf numFmtId="164" fontId="4" fillId="0" borderId="3" xfId="0" applyNumberFormat="1" applyFont="1" applyBorder="1" applyAlignment="1">
      <alignment horizontal="center" vertical="top"/>
    </xf>
    <xf numFmtId="164" fontId="4" fillId="0" borderId="4" xfId="0" applyNumberFormat="1" applyFont="1" applyBorder="1" applyAlignment="1">
      <alignment horizontal="center" vertical="top" wrapText="1"/>
    </xf>
    <xf numFmtId="0" fontId="30" fillId="2" borderId="4" xfId="0" applyFont="1" applyFill="1" applyBorder="1"/>
    <xf numFmtId="0" fontId="4" fillId="2" borderId="5" xfId="0" applyFont="1" applyFill="1" applyBorder="1" applyAlignment="1">
      <alignment horizontal="left" vertical="top" wrapText="1"/>
    </xf>
    <xf numFmtId="0" fontId="4" fillId="2" borderId="4"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7" xfId="0" applyFont="1" applyFill="1" applyBorder="1" applyAlignment="1">
      <alignment horizontal="left" vertical="top" wrapText="1"/>
    </xf>
    <xf numFmtId="0" fontId="4" fillId="2" borderId="14" xfId="0" applyFont="1" applyFill="1" applyBorder="1" applyAlignment="1">
      <alignment horizontal="left" vertical="top" wrapText="1"/>
    </xf>
    <xf numFmtId="0" fontId="41" fillId="0" borderId="0" xfId="0" applyFont="1"/>
    <xf numFmtId="0" fontId="41" fillId="0" borderId="0" xfId="0" applyFont="1" applyAlignment="1">
      <alignment wrapText="1"/>
    </xf>
    <xf numFmtId="0" fontId="42" fillId="0" borderId="0" xfId="0" applyFont="1" applyAlignment="1" applyProtection="1">
      <alignment vertical="top" wrapText="1"/>
      <protection locked="0"/>
    </xf>
    <xf numFmtId="0" fontId="41" fillId="0" borderId="11" xfId="0" applyFont="1" applyBorder="1" applyAlignment="1">
      <alignment wrapText="1"/>
    </xf>
    <xf numFmtId="0" fontId="22" fillId="0" borderId="11" xfId="0" applyFont="1" applyBorder="1"/>
    <xf numFmtId="164" fontId="43" fillId="7" borderId="14" xfId="0" applyNumberFormat="1" applyFont="1" applyFill="1" applyBorder="1" applyAlignment="1">
      <alignment horizontal="center" vertical="top" wrapText="1"/>
    </xf>
    <xf numFmtId="164" fontId="22" fillId="7" borderId="14" xfId="0" applyNumberFormat="1" applyFont="1" applyFill="1" applyBorder="1" applyAlignment="1">
      <alignment horizontal="left" vertical="top" wrapText="1"/>
    </xf>
    <xf numFmtId="0" fontId="42" fillId="7" borderId="6" xfId="0" applyFont="1" applyFill="1" applyBorder="1" applyAlignment="1" applyProtection="1">
      <alignment vertical="top" wrapText="1"/>
      <protection locked="0"/>
    </xf>
    <xf numFmtId="0" fontId="22" fillId="0" borderId="0" xfId="0" applyFont="1" applyAlignment="1">
      <alignment vertical="top"/>
    </xf>
    <xf numFmtId="0" fontId="41" fillId="0" borderId="0" xfId="0" applyFont="1" applyAlignment="1">
      <alignment vertical="top"/>
    </xf>
    <xf numFmtId="0" fontId="41" fillId="0" borderId="0" xfId="0" applyFont="1" applyAlignment="1">
      <alignment vertical="top" wrapText="1"/>
    </xf>
    <xf numFmtId="0" fontId="22" fillId="0" borderId="0" xfId="0" applyFont="1" applyAlignment="1">
      <alignment horizontal="left" vertical="top"/>
    </xf>
    <xf numFmtId="164" fontId="4" fillId="0" borderId="0" xfId="0" quotePrefix="1" applyNumberFormat="1" applyFont="1" applyAlignment="1">
      <alignment vertical="top"/>
    </xf>
    <xf numFmtId="164" fontId="4" fillId="0" borderId="9" xfId="0" applyNumberFormat="1" applyFont="1" applyBorder="1" applyAlignment="1">
      <alignment vertical="top"/>
    </xf>
    <xf numFmtId="164" fontId="4" fillId="0" borderId="1" xfId="0" applyNumberFormat="1" applyFont="1" applyBorder="1" applyAlignment="1">
      <alignment vertical="top"/>
    </xf>
    <xf numFmtId="0" fontId="33" fillId="0" borderId="0" xfId="0" applyFont="1" applyAlignment="1">
      <alignment vertical="top"/>
    </xf>
    <xf numFmtId="0" fontId="22" fillId="0" borderId="0" xfId="0" applyFont="1"/>
    <xf numFmtId="0" fontId="29" fillId="6" borderId="14" xfId="0" applyFont="1" applyFill="1" applyBorder="1" applyAlignment="1">
      <alignment horizontal="right" vertical="top"/>
    </xf>
    <xf numFmtId="0" fontId="44" fillId="0" borderId="0" xfId="0" applyFont="1"/>
    <xf numFmtId="0" fontId="44" fillId="0" borderId="11" xfId="0" applyFont="1" applyBorder="1"/>
    <xf numFmtId="0" fontId="45" fillId="0" borderId="11" xfId="0" applyFont="1" applyBorder="1"/>
    <xf numFmtId="0" fontId="42" fillId="0" borderId="0" xfId="0" applyFont="1" applyAlignment="1" applyProtection="1">
      <alignment vertical="top"/>
      <protection locked="0"/>
    </xf>
    <xf numFmtId="0" fontId="3" fillId="6" borderId="0" xfId="0" applyFont="1" applyFill="1" applyAlignment="1">
      <alignment horizontal="left" vertical="top" wrapText="1"/>
    </xf>
    <xf numFmtId="0" fontId="3" fillId="6" borderId="11" xfId="0" applyFont="1" applyFill="1" applyBorder="1" applyAlignment="1">
      <alignment horizontal="left" vertical="top" wrapText="1"/>
    </xf>
    <xf numFmtId="0" fontId="3" fillId="6" borderId="12" xfId="0" applyFont="1" applyFill="1" applyBorder="1" applyAlignment="1">
      <alignment horizontal="left" vertical="top" wrapText="1"/>
    </xf>
    <xf numFmtId="0" fontId="3" fillId="6" borderId="15" xfId="0" applyFont="1" applyFill="1" applyBorder="1" applyAlignment="1">
      <alignment horizontal="left" vertical="top" wrapText="1"/>
    </xf>
    <xf numFmtId="0" fontId="41" fillId="8" borderId="0" xfId="0" applyFont="1" applyFill="1" applyAlignment="1">
      <alignment wrapText="1"/>
    </xf>
    <xf numFmtId="0" fontId="41" fillId="0" borderId="0" xfId="0" applyFont="1" applyAlignment="1">
      <alignment horizontal="left" vertical="top" wrapText="1"/>
    </xf>
    <xf numFmtId="0" fontId="4" fillId="0" borderId="10" xfId="0" applyFont="1" applyBorder="1" applyAlignment="1">
      <alignment horizontal="left" vertical="top" wrapText="1" indent="3"/>
    </xf>
    <xf numFmtId="164" fontId="4" fillId="0" borderId="10" xfId="0" applyNumberFormat="1" applyFont="1" applyBorder="1" applyAlignment="1">
      <alignment vertical="top"/>
    </xf>
    <xf numFmtId="0" fontId="4" fillId="0" borderId="10" xfId="0" applyFont="1" applyBorder="1" applyAlignment="1">
      <alignment horizontal="center" vertical="center"/>
    </xf>
    <xf numFmtId="0" fontId="30" fillId="3" borderId="7" xfId="0" applyFont="1" applyFill="1" applyBorder="1"/>
    <xf numFmtId="0" fontId="4" fillId="3" borderId="7" xfId="0" applyFont="1" applyFill="1" applyBorder="1" applyAlignment="1">
      <alignment horizontal="left" vertical="top"/>
    </xf>
    <xf numFmtId="0" fontId="4" fillId="3" borderId="11" xfId="0" applyFont="1" applyFill="1" applyBorder="1" applyAlignment="1">
      <alignment horizontal="left" vertical="top"/>
    </xf>
    <xf numFmtId="0" fontId="4" fillId="6" borderId="6" xfId="0" applyFont="1" applyFill="1" applyBorder="1"/>
    <xf numFmtId="164" fontId="4" fillId="0" borderId="0" xfId="0" applyNumberFormat="1" applyFont="1" applyAlignment="1">
      <alignment vertical="top" wrapText="1"/>
    </xf>
    <xf numFmtId="164" fontId="4" fillId="0" borderId="2" xfId="0" applyNumberFormat="1" applyFont="1" applyBorder="1" applyAlignment="1">
      <alignment vertical="top" wrapText="1"/>
    </xf>
    <xf numFmtId="0" fontId="0" fillId="0" borderId="0" xfId="0" applyAlignment="1">
      <alignment wrapText="1"/>
    </xf>
    <xf numFmtId="0" fontId="4" fillId="3" borderId="8" xfId="0" applyFont="1" applyFill="1" applyBorder="1" applyAlignment="1">
      <alignment horizontal="center" vertical="top" wrapText="1"/>
    </xf>
    <xf numFmtId="0" fontId="0" fillId="0" borderId="9" xfId="0" applyBorder="1"/>
    <xf numFmtId="0" fontId="4" fillId="3" borderId="9" xfId="0" applyFont="1" applyFill="1" applyBorder="1" applyAlignment="1">
      <alignment horizontal="center" vertical="top"/>
    </xf>
    <xf numFmtId="0" fontId="0" fillId="0" borderId="10" xfId="0" applyBorder="1" applyAlignment="1">
      <alignment vertical="top"/>
    </xf>
    <xf numFmtId="0" fontId="0" fillId="0" borderId="13" xfId="0" applyBorder="1" applyAlignment="1">
      <alignment vertical="top"/>
    </xf>
    <xf numFmtId="0" fontId="49" fillId="0" borderId="9" xfId="0" applyFont="1" applyBorder="1" applyAlignment="1">
      <alignment horizontal="left" vertical="top" wrapText="1"/>
    </xf>
    <xf numFmtId="0" fontId="49" fillId="0" borderId="1" xfId="0" applyFont="1" applyBorder="1" applyAlignment="1">
      <alignment horizontal="left" vertical="top" wrapText="1"/>
    </xf>
    <xf numFmtId="0" fontId="0" fillId="0" borderId="10" xfId="0" applyBorder="1" applyAlignment="1">
      <alignment vertical="top" wrapText="1"/>
    </xf>
    <xf numFmtId="0" fontId="0" fillId="0" borderId="13" xfId="0" applyBorder="1" applyAlignment="1">
      <alignment vertical="top" wrapText="1"/>
    </xf>
    <xf numFmtId="164" fontId="10" fillId="0" borderId="12" xfId="0" applyNumberFormat="1" applyFont="1" applyBorder="1" applyAlignment="1">
      <alignment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164" fontId="4" fillId="0" borderId="15" xfId="0" applyNumberFormat="1" applyFont="1" applyBorder="1" applyAlignment="1">
      <alignment horizontal="left" vertical="top" wrapText="1"/>
    </xf>
    <xf numFmtId="164" fontId="10" fillId="0" borderId="6" xfId="0" applyNumberFormat="1" applyFont="1" applyBorder="1" applyAlignment="1">
      <alignment horizontal="center" vertical="top" wrapText="1"/>
    </xf>
    <xf numFmtId="0" fontId="4" fillId="5" borderId="3" xfId="0" applyFont="1" applyFill="1" applyBorder="1" applyAlignment="1">
      <alignment horizontal="left" vertical="top"/>
    </xf>
    <xf numFmtId="0" fontId="4" fillId="5" borderId="2" xfId="0" applyFont="1" applyFill="1" applyBorder="1" applyAlignment="1">
      <alignment vertical="top" wrapText="1"/>
    </xf>
    <xf numFmtId="0" fontId="3" fillId="5" borderId="2" xfId="0" applyFont="1" applyFill="1" applyBorder="1" applyAlignment="1">
      <alignment vertical="top" wrapText="1"/>
    </xf>
    <xf numFmtId="0" fontId="4" fillId="5" borderId="2" xfId="0" applyFont="1" applyFill="1" applyBorder="1"/>
    <xf numFmtId="0" fontId="29" fillId="4" borderId="65" xfId="0" applyFont="1" applyFill="1" applyBorder="1" applyAlignment="1">
      <alignment horizontal="right" vertical="top"/>
    </xf>
    <xf numFmtId="0" fontId="29" fillId="0" borderId="10" xfId="0" applyFont="1" applyBorder="1" applyAlignment="1">
      <alignment horizontal="right" vertical="top"/>
    </xf>
    <xf numFmtId="0" fontId="29" fillId="0" borderId="12" xfId="0" applyFont="1" applyBorder="1" applyAlignment="1">
      <alignment horizontal="right" vertical="top"/>
    </xf>
    <xf numFmtId="0" fontId="29" fillId="0" borderId="13" xfId="0" applyFont="1" applyBorder="1" applyAlignment="1">
      <alignment horizontal="right" vertical="top"/>
    </xf>
    <xf numFmtId="0" fontId="4" fillId="0" borderId="12" xfId="0" applyFont="1" applyBorder="1" applyAlignment="1">
      <alignment horizontal="right" vertical="top"/>
    </xf>
    <xf numFmtId="164" fontId="4" fillId="3" borderId="4" xfId="0" applyNumberFormat="1" applyFont="1" applyFill="1" applyBorder="1" applyAlignment="1">
      <alignment horizontal="center" vertical="top"/>
    </xf>
    <xf numFmtId="0" fontId="4" fillId="0" borderId="13" xfId="0" applyFont="1" applyBorder="1" applyAlignment="1">
      <alignment horizontal="right" vertical="top"/>
    </xf>
    <xf numFmtId="164" fontId="4" fillId="0" borderId="10" xfId="0" applyNumberFormat="1" applyFont="1" applyBorder="1" applyAlignment="1">
      <alignment horizontal="right" vertical="top" wrapText="1"/>
    </xf>
    <xf numFmtId="164" fontId="4" fillId="0" borderId="6" xfId="0" applyNumberFormat="1" applyFont="1" applyBorder="1" applyAlignment="1">
      <alignment horizontal="right" vertical="top" wrapText="1"/>
    </xf>
    <xf numFmtId="0" fontId="4" fillId="6" borderId="24" xfId="0" applyFont="1" applyFill="1" applyBorder="1" applyAlignment="1">
      <alignment horizontal="center" vertical="top" wrapText="1"/>
    </xf>
    <xf numFmtId="164" fontId="4" fillId="6" borderId="24" xfId="0" applyNumberFormat="1" applyFont="1" applyFill="1" applyBorder="1" applyAlignment="1">
      <alignment horizontal="center" vertical="top"/>
    </xf>
    <xf numFmtId="0" fontId="4" fillId="6" borderId="22" xfId="0" applyFont="1" applyFill="1" applyBorder="1" applyAlignment="1">
      <alignment horizontal="center" vertical="top"/>
    </xf>
    <xf numFmtId="0" fontId="4" fillId="0" borderId="15" xfId="0" applyFont="1" applyBorder="1" applyAlignment="1">
      <alignment horizontal="center" vertical="center" wrapText="1"/>
    </xf>
    <xf numFmtId="0" fontId="4" fillId="0" borderId="9" xfId="0" applyFont="1" applyBorder="1" applyAlignment="1">
      <alignment horizontal="center" vertical="center" wrapText="1"/>
    </xf>
    <xf numFmtId="0" fontId="41" fillId="0" borderId="8" xfId="0" applyFont="1" applyBorder="1" applyAlignment="1">
      <alignment wrapText="1"/>
    </xf>
    <xf numFmtId="0" fontId="41" fillId="0" borderId="7" xfId="0" applyFont="1" applyBorder="1" applyAlignment="1">
      <alignment wrapText="1"/>
    </xf>
    <xf numFmtId="0" fontId="41" fillId="0" borderId="7" xfId="0" applyFont="1" applyBorder="1"/>
    <xf numFmtId="0" fontId="41" fillId="0" borderId="3" xfId="0" applyFont="1" applyBorder="1"/>
    <xf numFmtId="0" fontId="50" fillId="0" borderId="0" xfId="0" applyFont="1"/>
    <xf numFmtId="0" fontId="40" fillId="0" borderId="0" xfId="0" applyFont="1"/>
    <xf numFmtId="0" fontId="40" fillId="0" borderId="8" xfId="0" applyFont="1" applyBorder="1"/>
    <xf numFmtId="0" fontId="40" fillId="0" borderId="15" xfId="0" applyFont="1" applyBorder="1"/>
    <xf numFmtId="0" fontId="40" fillId="0" borderId="9" xfId="0" applyFont="1" applyBorder="1"/>
    <xf numFmtId="0" fontId="40" fillId="0" borderId="7" xfId="0" applyFont="1" applyBorder="1"/>
    <xf numFmtId="0" fontId="40" fillId="0" borderId="11" xfId="0" applyFont="1" applyBorder="1"/>
    <xf numFmtId="0" fontId="40" fillId="0" borderId="3" xfId="0" applyFont="1" applyBorder="1"/>
    <xf numFmtId="0" fontId="40" fillId="0" borderId="2" xfId="0" applyFont="1" applyBorder="1"/>
    <xf numFmtId="0" fontId="40" fillId="0" borderId="1" xfId="0" applyFont="1" applyBorder="1"/>
    <xf numFmtId="0" fontId="4" fillId="3" borderId="8" xfId="0" applyFont="1" applyFill="1" applyBorder="1" applyAlignment="1">
      <alignment horizontal="left" vertical="top" wrapText="1"/>
    </xf>
    <xf numFmtId="0" fontId="49" fillId="0" borderId="10" xfId="0" applyFont="1" applyBorder="1" applyAlignment="1">
      <alignment horizontal="left" vertical="top" wrapText="1"/>
    </xf>
    <xf numFmtId="0" fontId="49" fillId="0" borderId="13" xfId="0" applyFont="1" applyBorder="1" applyAlignment="1">
      <alignment horizontal="left" vertical="top" wrapText="1"/>
    </xf>
    <xf numFmtId="0" fontId="51" fillId="0" borderId="0" xfId="0" applyFont="1"/>
    <xf numFmtId="0" fontId="30" fillId="0" borderId="0" xfId="0" applyFont="1" applyAlignment="1">
      <alignment horizontal="left" vertical="top" wrapText="1"/>
    </xf>
    <xf numFmtId="0" fontId="4" fillId="0" borderId="7" xfId="0" applyFont="1" applyBorder="1" applyAlignment="1">
      <alignment vertical="center"/>
    </xf>
    <xf numFmtId="0" fontId="4" fillId="0" borderId="0" xfId="0" applyFont="1" applyAlignment="1">
      <alignment vertical="center"/>
    </xf>
    <xf numFmtId="0" fontId="4" fillId="0" borderId="7" xfId="0" applyFont="1" applyBorder="1" applyAlignment="1">
      <alignment wrapText="1"/>
    </xf>
    <xf numFmtId="0" fontId="4" fillId="0" borderId="8" xfId="0" applyFont="1" applyBorder="1" applyAlignment="1">
      <alignment wrapText="1"/>
    </xf>
    <xf numFmtId="0" fontId="30" fillId="0" borderId="4" xfId="0" applyFont="1" applyBorder="1"/>
    <xf numFmtId="0" fontId="33" fillId="0" borderId="8" xfId="0" applyFont="1" applyBorder="1"/>
    <xf numFmtId="164" fontId="4" fillId="9" borderId="34" xfId="0" applyNumberFormat="1" applyFont="1" applyFill="1" applyBorder="1" applyAlignment="1">
      <alignment horizontal="right" vertical="top" wrapText="1"/>
    </xf>
    <xf numFmtId="0" fontId="4" fillId="9" borderId="11" xfId="0" applyFont="1" applyFill="1" applyBorder="1" applyAlignment="1">
      <alignment horizontal="left" vertical="top" wrapText="1"/>
    </xf>
    <xf numFmtId="0" fontId="52" fillId="0" borderId="0" xfId="0" applyFont="1" applyAlignment="1" applyProtection="1">
      <alignment vertical="top" wrapText="1"/>
      <protection locked="0"/>
    </xf>
    <xf numFmtId="0" fontId="53" fillId="0" borderId="0" xfId="0" applyFont="1"/>
    <xf numFmtId="0" fontId="53" fillId="0" borderId="11" xfId="0" applyFont="1" applyBorder="1" applyAlignment="1">
      <alignment horizontal="left"/>
    </xf>
    <xf numFmtId="0" fontId="7" fillId="0" borderId="0" xfId="0" applyFont="1" applyAlignment="1">
      <alignment horizontal="left" vertical="top"/>
    </xf>
    <xf numFmtId="0" fontId="4" fillId="0" borderId="7"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3" fillId="0" borderId="12"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left" vertical="top" wrapText="1"/>
    </xf>
    <xf numFmtId="164" fontId="30" fillId="0" borderId="11" xfId="0" applyNumberFormat="1" applyFont="1" applyBorder="1" applyAlignment="1">
      <alignment horizontal="left" vertical="top" wrapText="1"/>
    </xf>
    <xf numFmtId="0" fontId="4" fillId="0" borderId="13"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164" fontId="4" fillId="0" borderId="11" xfId="0" applyNumberFormat="1"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164" fontId="30" fillId="0" borderId="1" xfId="0" applyNumberFormat="1" applyFont="1" applyBorder="1" applyAlignment="1">
      <alignment horizontal="left" vertical="top" wrapText="1"/>
    </xf>
    <xf numFmtId="0" fontId="9" fillId="3" borderId="2" xfId="0" quotePrefix="1" applyFont="1" applyFill="1" applyBorder="1" applyAlignment="1">
      <alignment horizontal="left" vertical="center" wrapText="1"/>
    </xf>
    <xf numFmtId="0" fontId="9" fillId="3" borderId="14" xfId="0" applyFont="1" applyFill="1" applyBorder="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0" fillId="4" borderId="16" xfId="0" applyFont="1" applyFill="1" applyBorder="1" applyAlignment="1">
      <alignment horizontal="left" vertical="top" wrapText="1"/>
    </xf>
    <xf numFmtId="0" fontId="40" fillId="4" borderId="17" xfId="0" applyFont="1" applyFill="1" applyBorder="1" applyAlignment="1">
      <alignment horizontal="left" vertical="top" wrapText="1"/>
    </xf>
    <xf numFmtId="0" fontId="40" fillId="4" borderId="57" xfId="0" applyFont="1" applyFill="1" applyBorder="1" applyAlignment="1">
      <alignment horizontal="left" vertical="top" wrapText="1"/>
    </xf>
    <xf numFmtId="0" fontId="3" fillId="4" borderId="58" xfId="0" applyFont="1" applyFill="1" applyBorder="1" applyAlignment="1">
      <alignment horizontal="left" vertical="center" wrapText="1"/>
    </xf>
    <xf numFmtId="0" fontId="3" fillId="4" borderId="59" xfId="0" applyFont="1" applyFill="1" applyBorder="1" applyAlignment="1">
      <alignment horizontal="left" vertical="center" wrapText="1"/>
    </xf>
    <xf numFmtId="0" fontId="3" fillId="4" borderId="60" xfId="0" applyFont="1" applyFill="1" applyBorder="1" applyAlignment="1">
      <alignment horizontal="left" vertical="center" wrapText="1"/>
    </xf>
    <xf numFmtId="0" fontId="4"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164" fontId="4" fillId="0" borderId="4" xfId="0" applyNumberFormat="1" applyFont="1" applyBorder="1" applyAlignment="1">
      <alignment horizontal="left" vertical="top"/>
    </xf>
    <xf numFmtId="164" fontId="4" fillId="0" borderId="5" xfId="0" applyNumberFormat="1" applyFont="1" applyBorder="1" applyAlignment="1">
      <alignment horizontal="left" vertical="top"/>
    </xf>
    <xf numFmtId="0" fontId="4" fillId="3" borderId="4" xfId="0" applyFont="1" applyFill="1" applyBorder="1" applyAlignment="1">
      <alignment horizontal="center" vertical="top" wrapText="1"/>
    </xf>
    <xf numFmtId="0" fontId="4" fillId="3" borderId="5" xfId="0" applyFont="1" applyFill="1" applyBorder="1" applyAlignment="1">
      <alignment horizontal="center" vertical="top" wrapText="1"/>
    </xf>
    <xf numFmtId="0" fontId="3" fillId="0" borderId="7" xfId="0" applyFont="1" applyBorder="1" applyAlignment="1">
      <alignment horizontal="left" vertical="top" wrapText="1"/>
    </xf>
    <xf numFmtId="0" fontId="3" fillId="0" borderId="11" xfId="0" applyFont="1" applyBorder="1" applyAlignment="1">
      <alignment horizontal="left" vertical="top" wrapText="1"/>
    </xf>
    <xf numFmtId="164" fontId="4" fillId="0" borderId="8" xfId="0" applyNumberFormat="1" applyFont="1" applyBorder="1" applyAlignment="1">
      <alignment horizontal="left" vertical="top"/>
    </xf>
    <xf numFmtId="164" fontId="4" fillId="0" borderId="9" xfId="0" applyNumberFormat="1" applyFont="1" applyBorder="1" applyAlignment="1">
      <alignment horizontal="left" vertical="top"/>
    </xf>
    <xf numFmtId="164" fontId="4" fillId="0" borderId="3" xfId="0" applyNumberFormat="1" applyFont="1" applyBorder="1" applyAlignment="1">
      <alignment horizontal="left" vertical="top"/>
    </xf>
    <xf numFmtId="164" fontId="4" fillId="0" borderId="1" xfId="0" applyNumberFormat="1" applyFont="1" applyBorder="1" applyAlignment="1">
      <alignment horizontal="left" vertical="top"/>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5"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lignment horizontal="left" vertical="top" wrapText="1"/>
    </xf>
    <xf numFmtId="164" fontId="4" fillId="0" borderId="8" xfId="0" applyNumberFormat="1" applyFont="1" applyBorder="1" applyAlignment="1">
      <alignment horizontal="right" vertical="top" wrapText="1"/>
    </xf>
    <xf numFmtId="164" fontId="4" fillId="0" borderId="7" xfId="0" applyNumberFormat="1" applyFont="1" applyBorder="1" applyAlignment="1">
      <alignment horizontal="right" vertical="top" wrapText="1"/>
    </xf>
    <xf numFmtId="0" fontId="7" fillId="0" borderId="4"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4" fillId="6" borderId="4" xfId="0" applyFont="1" applyFill="1" applyBorder="1" applyAlignment="1">
      <alignment wrapText="1"/>
    </xf>
    <xf numFmtId="0" fontId="4" fillId="6" borderId="5" xfId="0" applyFont="1" applyFill="1" applyBorder="1" applyAlignment="1">
      <alignment wrapText="1"/>
    </xf>
    <xf numFmtId="164" fontId="10" fillId="0" borderId="10" xfId="0" applyNumberFormat="1" applyFont="1" applyBorder="1" applyAlignment="1">
      <alignment wrapText="1"/>
    </xf>
    <xf numFmtId="164" fontId="10" fillId="0" borderId="12" xfId="0" applyNumberFormat="1" applyFont="1" applyBorder="1" applyAlignment="1">
      <alignment wrapText="1"/>
    </xf>
    <xf numFmtId="164" fontId="5" fillId="0" borderId="5" xfId="0" applyNumberFormat="1" applyFont="1" applyBorder="1" applyAlignment="1">
      <alignment wrapText="1"/>
    </xf>
    <xf numFmtId="0" fontId="6" fillId="0" borderId="10" xfId="0" applyFont="1" applyBorder="1" applyAlignment="1">
      <alignment vertical="top" wrapText="1"/>
    </xf>
    <xf numFmtId="0" fontId="6" fillId="0" borderId="13" xfId="0" applyFont="1" applyBorder="1" applyAlignment="1">
      <alignment vertical="top" wrapText="1"/>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6" fillId="0" borderId="12" xfId="0" applyFont="1" applyBorder="1" applyAlignment="1">
      <alignment wrapText="1"/>
    </xf>
    <xf numFmtId="0" fontId="3" fillId="0" borderId="0" xfId="0" applyFont="1" applyAlignment="1">
      <alignment horizontal="center" vertical="top" wrapText="1"/>
    </xf>
    <xf numFmtId="0" fontId="0" fillId="0" borderId="0" xfId="0" applyAlignment="1">
      <alignment horizontal="center" vertical="top"/>
    </xf>
    <xf numFmtId="0" fontId="4" fillId="4" borderId="4" xfId="0" applyFont="1" applyFill="1" applyBorder="1" applyAlignment="1">
      <alignment horizontal="left" vertical="top" wrapText="1"/>
    </xf>
    <xf numFmtId="0" fontId="4" fillId="4" borderId="14"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6" borderId="0" xfId="0" applyFont="1" applyFill="1" applyAlignment="1">
      <alignment horizontal="center" vertical="top"/>
    </xf>
    <xf numFmtId="0" fontId="4" fillId="6" borderId="11" xfId="0" applyFont="1" applyFill="1" applyBorder="1" applyAlignment="1">
      <alignment horizontal="center" vertical="top"/>
    </xf>
    <xf numFmtId="0" fontId="26" fillId="6" borderId="3" xfId="0" applyFont="1" applyFill="1" applyBorder="1" applyAlignment="1">
      <alignment horizontal="center" vertical="top"/>
    </xf>
    <xf numFmtId="0" fontId="26" fillId="6" borderId="2" xfId="0" applyFont="1" applyFill="1" applyBorder="1" applyAlignment="1">
      <alignment horizontal="center" vertical="top"/>
    </xf>
    <xf numFmtId="164" fontId="4" fillId="0" borderId="7" xfId="0" applyNumberFormat="1" applyFont="1" applyBorder="1" applyAlignment="1">
      <alignment horizontal="center" vertical="top"/>
    </xf>
    <xf numFmtId="164" fontId="0" fillId="0" borderId="7" xfId="0" applyNumberFormat="1" applyBorder="1" applyAlignment="1">
      <alignment horizontal="center" vertical="top"/>
    </xf>
    <xf numFmtId="164" fontId="0" fillId="0" borderId="3" xfId="0" applyNumberFormat="1" applyBorder="1" applyAlignment="1">
      <alignment horizontal="center" vertical="top"/>
    </xf>
    <xf numFmtId="164" fontId="4" fillId="0" borderId="11" xfId="0" applyNumberFormat="1" applyFont="1" applyBorder="1" applyAlignment="1">
      <alignment horizontal="left" vertical="top"/>
    </xf>
    <xf numFmtId="164" fontId="0" fillId="0" borderId="11" xfId="0" applyNumberFormat="1" applyBorder="1" applyAlignment="1">
      <alignment horizontal="left" vertical="top"/>
    </xf>
    <xf numFmtId="164" fontId="0" fillId="0" borderId="1" xfId="0" applyNumberFormat="1"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164" fontId="4" fillId="0" borderId="8" xfId="0" applyNumberFormat="1" applyFont="1" applyBorder="1" applyAlignment="1">
      <alignment horizontal="center" vertical="top" wrapText="1"/>
    </xf>
    <xf numFmtId="164" fontId="0" fillId="0" borderId="7" xfId="0" applyNumberFormat="1" applyBorder="1" applyAlignment="1">
      <alignment horizontal="center" vertical="top" wrapText="1"/>
    </xf>
    <xf numFmtId="164" fontId="0" fillId="0" borderId="3" xfId="0" applyNumberFormat="1" applyBorder="1" applyAlignment="1">
      <alignment horizontal="center" vertical="top" wrapText="1"/>
    </xf>
    <xf numFmtId="164" fontId="0" fillId="0" borderId="11" xfId="0" applyNumberFormat="1" applyBorder="1" applyAlignment="1">
      <alignment horizontal="left" vertical="top" wrapText="1"/>
    </xf>
    <xf numFmtId="164" fontId="0" fillId="0" borderId="1" xfId="0" applyNumberFormat="1" applyBorder="1" applyAlignment="1">
      <alignment horizontal="left" vertical="top"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8" xfId="0" applyNumberFormat="1" applyFont="1" applyBorder="1" applyAlignment="1">
      <alignment horizontal="center" vertical="top"/>
    </xf>
    <xf numFmtId="0" fontId="0" fillId="0" borderId="7" xfId="0" applyBorder="1" applyAlignment="1">
      <alignment horizontal="center" vertical="top"/>
    </xf>
    <xf numFmtId="0" fontId="0" fillId="0" borderId="11" xfId="0" applyBorder="1" applyAlignment="1">
      <alignment horizontal="left" vertical="top"/>
    </xf>
    <xf numFmtId="0" fontId="20" fillId="0" borderId="12" xfId="0" applyFont="1" applyBorder="1" applyAlignment="1">
      <alignment horizontal="left" vertical="top"/>
    </xf>
    <xf numFmtId="0" fontId="20" fillId="0" borderId="13" xfId="0" applyFont="1" applyBorder="1" applyAlignment="1">
      <alignment horizontal="left" vertical="top"/>
    </xf>
    <xf numFmtId="164" fontId="4" fillId="0" borderId="3" xfId="0" applyNumberFormat="1" applyFont="1" applyBorder="1" applyAlignment="1">
      <alignment horizontal="center" vertical="top"/>
    </xf>
    <xf numFmtId="0" fontId="4" fillId="0" borderId="10" xfId="0" applyFont="1" applyBorder="1" applyAlignment="1">
      <alignment vertical="top" wrapText="1"/>
    </xf>
    <xf numFmtId="0" fontId="4" fillId="0" borderId="13" xfId="0" applyFont="1" applyBorder="1" applyAlignment="1">
      <alignment vertical="top" wrapText="1"/>
    </xf>
    <xf numFmtId="0" fontId="3" fillId="4" borderId="8"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4" xfId="0" applyFont="1" applyBorder="1" applyAlignment="1">
      <alignment horizontal="left" vertical="center" wrapText="1"/>
    </xf>
    <xf numFmtId="0" fontId="4" fillId="0" borderId="14" xfId="0" applyFont="1" applyBorder="1" applyAlignment="1">
      <alignment horizontal="left" vertical="center" wrapText="1"/>
    </xf>
    <xf numFmtId="0" fontId="4" fillId="0" borderId="5" xfId="0" applyFont="1" applyBorder="1" applyAlignment="1">
      <alignment horizontal="left" vertical="center" wrapText="1"/>
    </xf>
    <xf numFmtId="0" fontId="4" fillId="0" borderId="14" xfId="0" applyFont="1" applyBorder="1" applyAlignment="1">
      <alignment horizontal="left" vertical="top" wrapText="1"/>
    </xf>
    <xf numFmtId="0" fontId="6" fillId="0" borderId="4" xfId="0" applyFont="1" applyBorder="1" applyAlignment="1">
      <alignment horizontal="left" vertical="top" wrapText="1"/>
    </xf>
    <xf numFmtId="0" fontId="6" fillId="0" borderId="14" xfId="0" applyFont="1" applyBorder="1" applyAlignment="1">
      <alignment horizontal="left" vertical="top" wrapText="1"/>
    </xf>
    <xf numFmtId="0" fontId="6" fillId="0" borderId="5" xfId="0" applyFont="1" applyBorder="1" applyAlignment="1">
      <alignment horizontal="left" vertical="top" wrapText="1"/>
    </xf>
    <xf numFmtId="0" fontId="2" fillId="0" borderId="0" xfId="0" applyFont="1" applyAlignment="1">
      <alignment horizontal="center" vertical="top" wrapText="1"/>
    </xf>
    <xf numFmtId="0" fontId="10" fillId="4" borderId="2" xfId="0" applyFont="1" applyFill="1" applyBorder="1" applyAlignment="1">
      <alignment horizontal="left" vertical="top" wrapText="1"/>
    </xf>
    <xf numFmtId="0" fontId="6" fillId="0" borderId="8" xfId="0" applyFont="1" applyBorder="1" applyAlignment="1">
      <alignment horizontal="left" vertical="top" wrapText="1"/>
    </xf>
    <xf numFmtId="0" fontId="6" fillId="0" borderId="15" xfId="0" applyFont="1" applyBorder="1" applyAlignment="1">
      <alignment horizontal="left" vertical="top" wrapText="1"/>
    </xf>
    <xf numFmtId="0" fontId="6" fillId="0" borderId="9" xfId="0" applyFont="1" applyBorder="1" applyAlignment="1">
      <alignment horizontal="left" vertical="top" wrapText="1"/>
    </xf>
    <xf numFmtId="0" fontId="4" fillId="0" borderId="8" xfId="0" applyFont="1" applyBorder="1" applyAlignment="1">
      <alignment horizontal="left" vertical="center" wrapText="1"/>
    </xf>
    <xf numFmtId="0" fontId="4" fillId="0" borderId="15" xfId="0" applyFont="1" applyBorder="1" applyAlignment="1">
      <alignment horizontal="left" vertical="center" wrapText="1"/>
    </xf>
    <xf numFmtId="0" fontId="10" fillId="0" borderId="10" xfId="0" applyFont="1" applyBorder="1" applyAlignment="1">
      <alignment horizontal="left" vertical="top" wrapText="1"/>
    </xf>
    <xf numFmtId="0" fontId="10" fillId="0" borderId="12" xfId="0" applyFont="1" applyBorder="1" applyAlignment="1">
      <alignment horizontal="left" vertical="top" wrapText="1"/>
    </xf>
    <xf numFmtId="0" fontId="10" fillId="0" borderId="13" xfId="0" applyFont="1" applyBorder="1" applyAlignment="1">
      <alignment horizontal="left" vertical="top" wrapText="1"/>
    </xf>
    <xf numFmtId="0" fontId="4" fillId="0" borderId="25" xfId="0" applyFont="1" applyBorder="1" applyAlignment="1">
      <alignment vertical="top" wrapText="1"/>
    </xf>
    <xf numFmtId="0" fontId="4" fillId="0" borderId="26" xfId="0" applyFont="1" applyBorder="1" applyAlignment="1">
      <alignment vertical="top"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27" xfId="0" applyFont="1" applyBorder="1" applyAlignment="1">
      <alignment vertical="top" wrapText="1"/>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3" fillId="5" borderId="3" xfId="0" applyFont="1" applyFill="1" applyBorder="1" applyAlignment="1">
      <alignment horizontal="center" vertical="top" wrapText="1"/>
    </xf>
    <xf numFmtId="0" fontId="3" fillId="5" borderId="1" xfId="0" applyFont="1" applyFill="1" applyBorder="1" applyAlignment="1">
      <alignment horizontal="center" vertical="top" wrapText="1"/>
    </xf>
    <xf numFmtId="0" fontId="7" fillId="0" borderId="25" xfId="0" applyFont="1" applyBorder="1" applyAlignment="1">
      <alignment vertical="top" wrapText="1"/>
    </xf>
    <xf numFmtId="0" fontId="7" fillId="0" borderId="26" xfId="0" applyFont="1" applyBorder="1" applyAlignment="1">
      <alignment vertical="top" wrapText="1"/>
    </xf>
    <xf numFmtId="0" fontId="7" fillId="0" borderId="27" xfId="0" applyFont="1" applyBorder="1" applyAlignment="1">
      <alignment vertical="top" wrapText="1"/>
    </xf>
    <xf numFmtId="0" fontId="4" fillId="4" borderId="8" xfId="0" applyFont="1" applyFill="1" applyBorder="1" applyAlignment="1">
      <alignment horizontal="left" vertical="top" wrapText="1"/>
    </xf>
    <xf numFmtId="0" fontId="4" fillId="4" borderId="15"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14" xfId="0" applyFont="1" applyFill="1" applyBorder="1" applyAlignment="1">
      <alignment horizontal="center" vertical="top" wrapText="1"/>
    </xf>
    <xf numFmtId="0" fontId="3" fillId="3" borderId="5" xfId="0" applyFont="1" applyFill="1" applyBorder="1" applyAlignment="1">
      <alignment horizontal="center" vertical="top" wrapText="1"/>
    </xf>
    <xf numFmtId="0" fontId="7" fillId="0" borderId="28" xfId="0" applyFont="1" applyBorder="1" applyAlignment="1">
      <alignment vertical="top" wrapText="1"/>
    </xf>
    <xf numFmtId="0" fontId="7" fillId="0" borderId="29" xfId="0" applyFont="1" applyBorder="1" applyAlignment="1">
      <alignment vertical="top" wrapText="1"/>
    </xf>
    <xf numFmtId="0" fontId="4" fillId="5" borderId="8" xfId="0" applyFont="1" applyFill="1" applyBorder="1" applyAlignment="1">
      <alignment horizontal="left" vertical="top" wrapText="1"/>
    </xf>
    <xf numFmtId="0" fontId="4" fillId="5" borderId="15" xfId="0" applyFont="1" applyFill="1" applyBorder="1" applyAlignment="1">
      <alignment horizontal="left" vertical="top" wrapText="1"/>
    </xf>
    <xf numFmtId="0" fontId="4" fillId="5" borderId="9"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2"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14" xfId="0" applyFont="1" applyFill="1" applyBorder="1" applyAlignment="1">
      <alignment horizontal="left" vertical="top" wrapText="1"/>
    </xf>
    <xf numFmtId="0" fontId="4" fillId="5" borderId="5" xfId="0" applyFont="1" applyFill="1" applyBorder="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xf>
    <xf numFmtId="0" fontId="4" fillId="0" borderId="11" xfId="0" applyFont="1" applyBorder="1" applyAlignment="1">
      <alignment vertical="top"/>
    </xf>
    <xf numFmtId="0" fontId="4" fillId="0" borderId="2" xfId="0" applyFont="1" applyBorder="1" applyAlignment="1">
      <alignment horizontal="left" vertical="top"/>
    </xf>
    <xf numFmtId="0" fontId="4" fillId="0" borderId="1" xfId="0" applyFont="1" applyBorder="1" applyAlignment="1">
      <alignment horizontal="left" vertical="top"/>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4" xfId="0" applyFont="1" applyBorder="1" applyAlignment="1">
      <alignment horizontal="lef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top" wrapText="1"/>
    </xf>
    <xf numFmtId="0" fontId="30" fillId="5" borderId="8" xfId="0" applyFont="1" applyFill="1" applyBorder="1" applyAlignment="1">
      <alignment horizontal="left" vertical="top" wrapText="1"/>
    </xf>
    <xf numFmtId="0" fontId="30" fillId="5" borderId="15" xfId="0" applyFont="1" applyFill="1" applyBorder="1" applyAlignment="1">
      <alignment horizontal="left" vertical="top" wrapText="1"/>
    </xf>
    <xf numFmtId="0" fontId="30" fillId="5" borderId="9" xfId="0" applyFont="1" applyFill="1" applyBorder="1" applyAlignment="1">
      <alignment horizontal="left" vertical="top" wrapText="1"/>
    </xf>
    <xf numFmtId="0" fontId="30" fillId="5" borderId="7" xfId="0" applyFont="1" applyFill="1" applyBorder="1" applyAlignment="1">
      <alignment horizontal="left" vertical="top" wrapText="1"/>
    </xf>
    <xf numFmtId="0" fontId="30" fillId="5" borderId="0" xfId="0" applyFont="1" applyFill="1" applyAlignment="1">
      <alignment horizontal="left" vertical="top" wrapText="1"/>
    </xf>
    <xf numFmtId="0" fontId="30" fillId="5" borderId="11" xfId="0" applyFont="1" applyFill="1" applyBorder="1" applyAlignment="1">
      <alignment horizontal="left" vertical="top" wrapText="1"/>
    </xf>
    <xf numFmtId="0" fontId="30" fillId="5" borderId="3" xfId="0" applyFont="1" applyFill="1" applyBorder="1" applyAlignment="1">
      <alignment horizontal="left" vertical="top" wrapText="1"/>
    </xf>
    <xf numFmtId="0" fontId="30" fillId="5" borderId="2" xfId="0" applyFont="1" applyFill="1" applyBorder="1" applyAlignment="1">
      <alignment horizontal="left" vertical="top" wrapText="1"/>
    </xf>
    <xf numFmtId="0" fontId="30" fillId="5" borderId="1" xfId="0" applyFont="1" applyFill="1" applyBorder="1" applyAlignment="1">
      <alignment horizontal="left" vertical="top" wrapText="1"/>
    </xf>
    <xf numFmtId="0" fontId="4" fillId="0" borderId="0" xfId="0" applyFont="1" applyAlignment="1">
      <alignment vertical="top" wrapText="1"/>
    </xf>
    <xf numFmtId="0" fontId="4" fillId="0" borderId="11" xfId="0" applyFont="1" applyBorder="1" applyAlignment="1">
      <alignment vertical="top" wrapText="1"/>
    </xf>
    <xf numFmtId="0" fontId="4" fillId="0" borderId="15" xfId="0" applyFont="1" applyBorder="1" applyAlignment="1">
      <alignment vertical="top" wrapText="1"/>
    </xf>
    <xf numFmtId="0" fontId="4" fillId="0" borderId="9" xfId="0" applyFont="1" applyBorder="1" applyAlignment="1">
      <alignment vertical="top" wrapText="1"/>
    </xf>
    <xf numFmtId="0" fontId="4" fillId="0" borderId="12" xfId="0" applyFont="1" applyBorder="1" applyAlignment="1">
      <alignment horizontal="center" vertical="top" wrapText="1"/>
    </xf>
    <xf numFmtId="0" fontId="4" fillId="0" borderId="10" xfId="0" applyFont="1" applyBorder="1" applyAlignment="1">
      <alignment horizontal="center" vertical="top" wrapText="1"/>
    </xf>
    <xf numFmtId="0" fontId="29" fillId="4" borderId="4" xfId="0" applyFont="1" applyFill="1" applyBorder="1" applyAlignment="1">
      <alignment horizontal="left" vertical="top" wrapText="1"/>
    </xf>
    <xf numFmtId="0" fontId="29" fillId="4" borderId="14" xfId="0" applyFont="1" applyFill="1" applyBorder="1" applyAlignment="1">
      <alignment horizontal="left" vertical="top" wrapText="1"/>
    </xf>
    <xf numFmtId="0" fontId="29" fillId="4" borderId="5" xfId="0" applyFont="1" applyFill="1" applyBorder="1" applyAlignment="1">
      <alignment horizontal="left" vertical="top" wrapText="1"/>
    </xf>
    <xf numFmtId="0" fontId="3" fillId="6" borderId="55"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4" xfId="0" applyFont="1" applyFill="1" applyBorder="1" applyAlignment="1">
      <alignment horizontal="center" vertical="top" wrapText="1"/>
    </xf>
    <xf numFmtId="0" fontId="3" fillId="6" borderId="5"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3" borderId="15"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4" borderId="18" xfId="0" applyFont="1" applyFill="1" applyBorder="1" applyAlignment="1">
      <alignment horizontal="center" vertical="top" wrapText="1"/>
    </xf>
    <xf numFmtId="0" fontId="3" fillId="4" borderId="19" xfId="0" applyFont="1" applyFill="1" applyBorder="1" applyAlignment="1">
      <alignment horizontal="center" vertical="top" wrapText="1"/>
    </xf>
    <xf numFmtId="0" fontId="48" fillId="0" borderId="4" xfId="0" applyFont="1" applyBorder="1" applyAlignment="1">
      <alignment horizontal="center" vertical="top" wrapText="1"/>
    </xf>
    <xf numFmtId="0" fontId="48" fillId="0" borderId="5" xfId="0" applyFont="1" applyBorder="1" applyAlignment="1">
      <alignment horizontal="center" vertical="top" wrapText="1"/>
    </xf>
    <xf numFmtId="164" fontId="4" fillId="0" borderId="4" xfId="0" applyNumberFormat="1" applyFont="1" applyBorder="1" applyAlignment="1">
      <alignment horizontal="center" vertical="top" wrapText="1"/>
    </xf>
    <xf numFmtId="164" fontId="4" fillId="0" borderId="5" xfId="0" applyNumberFormat="1" applyFont="1" applyBorder="1" applyAlignment="1">
      <alignment horizontal="center" vertical="top" wrapText="1"/>
    </xf>
    <xf numFmtId="164" fontId="4" fillId="0" borderId="10" xfId="0" applyNumberFormat="1" applyFont="1" applyBorder="1" applyAlignment="1">
      <alignment horizontal="right" vertical="top" wrapText="1"/>
    </xf>
    <xf numFmtId="164" fontId="4" fillId="0" borderId="12" xfId="0" applyNumberFormat="1" applyFont="1" applyBorder="1" applyAlignment="1">
      <alignment horizontal="right" vertical="top" wrapText="1"/>
    </xf>
    <xf numFmtId="164" fontId="4" fillId="0" borderId="10" xfId="0" applyNumberFormat="1" applyFont="1" applyBorder="1" applyAlignment="1">
      <alignment horizontal="left" vertical="top" wrapText="1"/>
    </xf>
    <xf numFmtId="164" fontId="4" fillId="0" borderId="12" xfId="0" applyNumberFormat="1" applyFont="1" applyBorder="1" applyAlignment="1">
      <alignment horizontal="left" vertical="top" wrapText="1"/>
    </xf>
    <xf numFmtId="164" fontId="4" fillId="0" borderId="4"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0" fontId="4" fillId="3" borderId="4" xfId="0" applyFont="1" applyFill="1" applyBorder="1" applyAlignment="1">
      <alignment horizontal="center" vertical="top"/>
    </xf>
    <xf numFmtId="0" fontId="4" fillId="3" borderId="5" xfId="0" applyFont="1" applyFill="1" applyBorder="1" applyAlignment="1">
      <alignment horizontal="center" vertical="top"/>
    </xf>
    <xf numFmtId="0" fontId="4" fillId="0" borderId="6" xfId="0" applyFont="1" applyBorder="1" applyAlignment="1">
      <alignment vertical="center" wrapText="1"/>
    </xf>
    <xf numFmtId="164" fontId="4" fillId="0" borderId="10" xfId="0" applyNumberFormat="1" applyFont="1" applyBorder="1" applyAlignment="1">
      <alignment horizontal="left" vertical="center" wrapText="1"/>
    </xf>
    <xf numFmtId="0" fontId="9" fillId="0" borderId="12" xfId="0" applyFont="1" applyBorder="1" applyAlignment="1">
      <alignment vertical="center" wrapText="1"/>
    </xf>
    <xf numFmtId="0" fontId="5" fillId="0" borderId="0" xfId="0" applyFont="1" applyAlignment="1">
      <alignment horizontal="left" vertical="top" wrapText="1"/>
    </xf>
    <xf numFmtId="0" fontId="5" fillId="0" borderId="11" xfId="0" applyFont="1" applyBorder="1" applyAlignment="1">
      <alignment horizontal="left" vertical="top" wrapText="1"/>
    </xf>
    <xf numFmtId="0" fontId="35" fillId="0" borderId="2" xfId="0" applyFont="1" applyBorder="1" applyAlignment="1">
      <alignment horizontal="left" vertical="top" wrapText="1"/>
    </xf>
    <xf numFmtId="0" fontId="34" fillId="0" borderId="0" xfId="0" applyFont="1" applyAlignment="1">
      <alignment horizontal="center" vertical="top" wrapText="1"/>
    </xf>
    <xf numFmtId="0" fontId="9" fillId="5" borderId="4" xfId="0" applyFont="1" applyFill="1" applyBorder="1" applyAlignment="1">
      <alignment horizontal="left" vertical="center" wrapText="1"/>
    </xf>
    <xf numFmtId="0" fontId="9" fillId="5" borderId="1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5" fillId="0" borderId="15" xfId="0" applyFont="1" applyBorder="1" applyAlignment="1">
      <alignment horizontal="left" vertical="top" wrapText="1"/>
    </xf>
    <xf numFmtId="0" fontId="5" fillId="0" borderId="9" xfId="0" applyFont="1" applyBorder="1" applyAlignment="1">
      <alignment horizontal="left" vertical="top" wrapText="1"/>
    </xf>
    <xf numFmtId="0" fontId="4" fillId="3" borderId="14" xfId="0" applyFont="1" applyFill="1" applyBorder="1" applyAlignment="1">
      <alignment horizontal="center" vertical="top"/>
    </xf>
    <xf numFmtId="0" fontId="4" fillId="3" borderId="14" xfId="0" applyFont="1" applyFill="1" applyBorder="1" applyAlignment="1">
      <alignment horizontal="center" vertical="top" wrapText="1"/>
    </xf>
    <xf numFmtId="0" fontId="3" fillId="5" borderId="4" xfId="0" applyFont="1" applyFill="1" applyBorder="1" applyAlignment="1">
      <alignment horizontal="left" vertical="top" wrapText="1"/>
    </xf>
    <xf numFmtId="0" fontId="3" fillId="5" borderId="14" xfId="0" applyFont="1" applyFill="1" applyBorder="1" applyAlignment="1">
      <alignment horizontal="left" vertical="top" wrapText="1"/>
    </xf>
    <xf numFmtId="0" fontId="3" fillId="5" borderId="5" xfId="0" applyFont="1" applyFill="1" applyBorder="1" applyAlignment="1">
      <alignment horizontal="left" vertical="top" wrapText="1"/>
    </xf>
    <xf numFmtId="0" fontId="3" fillId="0" borderId="14" xfId="0" applyFont="1" applyBorder="1" applyAlignment="1">
      <alignment horizontal="center" vertical="center" wrapText="1"/>
    </xf>
    <xf numFmtId="0" fontId="4" fillId="0" borderId="31" xfId="0" applyFont="1" applyBorder="1" applyAlignment="1">
      <alignment horizontal="left" vertical="top" wrapText="1"/>
    </xf>
    <xf numFmtId="0" fontId="4" fillId="0" borderId="32"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164" fontId="3" fillId="0" borderId="4" xfId="0" applyNumberFormat="1" applyFont="1" applyBorder="1" applyAlignment="1">
      <alignment horizontal="left" vertical="top" wrapText="1"/>
    </xf>
    <xf numFmtId="164" fontId="3" fillId="0" borderId="14" xfId="0" applyNumberFormat="1" applyFont="1" applyBorder="1" applyAlignment="1">
      <alignment horizontal="left" vertical="top" wrapText="1"/>
    </xf>
    <xf numFmtId="164" fontId="3" fillId="0" borderId="5" xfId="0" applyNumberFormat="1" applyFont="1" applyBorder="1" applyAlignment="1">
      <alignment horizontal="left" vertical="top" wrapText="1"/>
    </xf>
    <xf numFmtId="164" fontId="3" fillId="0" borderId="8" xfId="0" applyNumberFormat="1" applyFont="1" applyBorder="1" applyAlignment="1">
      <alignment horizontal="left" vertical="top" wrapText="1"/>
    </xf>
    <xf numFmtId="164" fontId="3" fillId="0" borderId="4" xfId="0" applyNumberFormat="1" applyFont="1" applyBorder="1" applyAlignment="1">
      <alignment horizontal="center" vertical="top" wrapText="1"/>
    </xf>
    <xf numFmtId="164" fontId="3" fillId="0" borderId="5" xfId="0" applyNumberFormat="1" applyFont="1" applyBorder="1" applyAlignment="1">
      <alignment horizontal="center" vertical="top" wrapText="1"/>
    </xf>
    <xf numFmtId="0" fontId="4" fillId="4" borderId="8" xfId="0" applyFont="1" applyFill="1" applyBorder="1" applyAlignment="1">
      <alignment horizontal="left" vertical="top"/>
    </xf>
    <xf numFmtId="0" fontId="4" fillId="4" borderId="15" xfId="0" applyFont="1" applyFill="1" applyBorder="1" applyAlignment="1">
      <alignment horizontal="left" vertical="top"/>
    </xf>
    <xf numFmtId="0" fontId="4" fillId="4" borderId="9" xfId="0" applyFont="1" applyFill="1" applyBorder="1" applyAlignment="1">
      <alignment horizontal="left" vertical="top"/>
    </xf>
    <xf numFmtId="0" fontId="3" fillId="6" borderId="0" xfId="0" applyFont="1" applyFill="1" applyAlignment="1">
      <alignment horizontal="center" vertical="top" wrapText="1"/>
    </xf>
    <xf numFmtId="0" fontId="3" fillId="4" borderId="4" xfId="0" applyFont="1" applyFill="1" applyBorder="1" applyAlignment="1">
      <alignment horizontal="left" vertical="top" wrapText="1"/>
    </xf>
    <xf numFmtId="0" fontId="3" fillId="4" borderId="14"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6" borderId="3" xfId="0" applyFont="1" applyFill="1" applyBorder="1" applyAlignment="1">
      <alignment horizontal="left" vertical="top" wrapText="1"/>
    </xf>
    <xf numFmtId="0" fontId="3" fillId="6" borderId="2" xfId="0" applyFont="1" applyFill="1" applyBorder="1" applyAlignment="1">
      <alignment horizontal="left" vertical="top" wrapText="1"/>
    </xf>
    <xf numFmtId="164" fontId="4" fillId="0" borderId="8" xfId="0" applyNumberFormat="1" applyFont="1" applyBorder="1" applyAlignment="1">
      <alignment horizontal="center" vertical="center"/>
    </xf>
    <xf numFmtId="164" fontId="4" fillId="0" borderId="9" xfId="0" applyNumberFormat="1" applyFont="1" applyBorder="1" applyAlignment="1">
      <alignment horizontal="center" vertical="center"/>
    </xf>
    <xf numFmtId="0" fontId="4" fillId="0" borderId="39"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61" xfId="0" applyFont="1" applyBorder="1" applyAlignment="1">
      <alignment horizontal="left" vertical="top" wrapText="1"/>
    </xf>
    <xf numFmtId="0" fontId="4" fillId="0" borderId="62" xfId="0" applyFont="1" applyBorder="1" applyAlignment="1">
      <alignment horizontal="center" vertical="center" wrapText="1"/>
    </xf>
    <xf numFmtId="0" fontId="4" fillId="0" borderId="40" xfId="0" applyFont="1" applyBorder="1" applyAlignment="1">
      <alignment horizontal="center" vertical="center" wrapText="1"/>
    </xf>
    <xf numFmtId="0" fontId="4" fillId="6" borderId="4" xfId="0" applyFont="1" applyFill="1" applyBorder="1" applyAlignment="1">
      <alignment horizontal="left" vertical="top"/>
    </xf>
    <xf numFmtId="0" fontId="4" fillId="6" borderId="5" xfId="0" applyFont="1" applyFill="1" applyBorder="1" applyAlignment="1">
      <alignment horizontal="left" vertical="top"/>
    </xf>
    <xf numFmtId="0" fontId="4" fillId="6" borderId="4" xfId="0" applyFont="1" applyFill="1" applyBorder="1" applyAlignment="1">
      <alignment horizontal="center" vertical="top"/>
    </xf>
    <xf numFmtId="0" fontId="4" fillId="6" borderId="5" xfId="0" applyFont="1" applyFill="1" applyBorder="1" applyAlignment="1">
      <alignment horizontal="center" vertical="top"/>
    </xf>
    <xf numFmtId="0" fontId="3" fillId="0" borderId="8" xfId="0" applyFont="1" applyBorder="1" applyAlignment="1">
      <alignment horizontal="left" vertical="center" wrapText="1"/>
    </xf>
    <xf numFmtId="0" fontId="3" fillId="0" borderId="15" xfId="0" applyFont="1" applyBorder="1" applyAlignment="1">
      <alignment horizontal="left" vertical="center" wrapText="1"/>
    </xf>
    <xf numFmtId="0" fontId="3" fillId="0" borderId="9" xfId="0" applyFont="1" applyBorder="1" applyAlignment="1">
      <alignment horizontal="left" vertical="center" wrapText="1"/>
    </xf>
    <xf numFmtId="0" fontId="4" fillId="0" borderId="37" xfId="0" applyFont="1" applyBorder="1" applyAlignment="1">
      <alignment horizontal="center" vertical="center" wrapText="1"/>
    </xf>
    <xf numFmtId="0" fontId="4" fillId="0" borderId="36" xfId="0" applyFont="1" applyBorder="1" applyAlignment="1">
      <alignment horizontal="center" vertical="center" wrapText="1"/>
    </xf>
    <xf numFmtId="10" fontId="3" fillId="0" borderId="7" xfId="0" applyNumberFormat="1" applyFont="1" applyBorder="1" applyAlignment="1">
      <alignment horizontal="center" vertical="top" wrapText="1"/>
    </xf>
    <xf numFmtId="10" fontId="3" fillId="0" borderId="11" xfId="0" applyNumberFormat="1" applyFont="1" applyBorder="1" applyAlignment="1">
      <alignment horizontal="center" vertical="top" wrapText="1"/>
    </xf>
    <xf numFmtId="0" fontId="3" fillId="6" borderId="4" xfId="0" applyFont="1" applyFill="1" applyBorder="1" applyAlignment="1">
      <alignment horizontal="left" vertical="top" wrapText="1"/>
    </xf>
    <xf numFmtId="0" fontId="3" fillId="6" borderId="14" xfId="0" applyFont="1" applyFill="1" applyBorder="1" applyAlignment="1">
      <alignment horizontal="left" vertical="top" wrapText="1"/>
    </xf>
    <xf numFmtId="0" fontId="3" fillId="0" borderId="15" xfId="0" applyFont="1" applyBorder="1" applyAlignment="1">
      <alignment horizontal="left" vertical="top" wrapText="1"/>
    </xf>
    <xf numFmtId="0" fontId="3" fillId="0" borderId="2" xfId="0" applyFont="1" applyBorder="1" applyAlignment="1">
      <alignment horizontal="left" vertical="top" wrapText="1"/>
    </xf>
    <xf numFmtId="0" fontId="40" fillId="0" borderId="10" xfId="0" applyFont="1" applyBorder="1" applyAlignment="1">
      <alignment horizontal="left" vertical="top" wrapText="1"/>
    </xf>
    <xf numFmtId="0" fontId="40" fillId="0" borderId="12" xfId="0" applyFont="1" applyBorder="1" applyAlignment="1">
      <alignment horizontal="left" vertical="top" wrapText="1"/>
    </xf>
    <xf numFmtId="0" fontId="40" fillId="0" borderId="13" xfId="0" applyFont="1" applyBorder="1" applyAlignment="1">
      <alignment horizontal="left" vertical="top" wrapText="1"/>
    </xf>
    <xf numFmtId="0" fontId="4" fillId="3" borderId="8" xfId="0" applyFont="1" applyFill="1" applyBorder="1" applyAlignment="1">
      <alignment horizontal="center" vertical="top"/>
    </xf>
    <xf numFmtId="0" fontId="4" fillId="3" borderId="9" xfId="0" applyFont="1" applyFill="1" applyBorder="1" applyAlignment="1">
      <alignment horizontal="center" vertical="top"/>
    </xf>
    <xf numFmtId="0" fontId="4" fillId="3" borderId="15" xfId="0" applyFont="1" applyFill="1" applyBorder="1" applyAlignment="1">
      <alignment horizontal="center" vertical="top"/>
    </xf>
    <xf numFmtId="0" fontId="0" fillId="0" borderId="10"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164" fontId="4" fillId="0" borderId="8" xfId="0" applyNumberFormat="1" applyFont="1" applyBorder="1" applyAlignment="1">
      <alignment horizontal="center" vertical="center" wrapText="1"/>
    </xf>
    <xf numFmtId="164" fontId="4" fillId="0" borderId="9"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164" fontId="4" fillId="0" borderId="11"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 fillId="0" borderId="6" xfId="0" applyFont="1" applyBorder="1" applyAlignment="1">
      <alignment vertical="top" wrapText="1"/>
    </xf>
    <xf numFmtId="0" fontId="3" fillId="4" borderId="66" xfId="0" applyFont="1" applyFill="1" applyBorder="1" applyAlignment="1">
      <alignment horizontal="left" vertical="top" wrapText="1"/>
    </xf>
    <xf numFmtId="0" fontId="3" fillId="4" borderId="21" xfId="0" applyFont="1" applyFill="1" applyBorder="1" applyAlignment="1">
      <alignment horizontal="left" vertical="top" wrapText="1"/>
    </xf>
    <xf numFmtId="0" fontId="3" fillId="4" borderId="67" xfId="0" applyFont="1" applyFill="1" applyBorder="1" applyAlignment="1">
      <alignment horizontal="left" vertical="top" wrapText="1"/>
    </xf>
    <xf numFmtId="0" fontId="4" fillId="0" borderId="8" xfId="0" quotePrefix="1" applyFont="1" applyBorder="1" applyAlignment="1">
      <alignment vertical="center" wrapText="1"/>
    </xf>
    <xf numFmtId="0" fontId="4" fillId="0" borderId="9" xfId="0" applyFont="1" applyBorder="1" applyAlignment="1">
      <alignment vertical="center" wrapText="1"/>
    </xf>
    <xf numFmtId="0" fontId="4" fillId="0" borderId="7" xfId="0" quotePrefix="1" applyFont="1" applyBorder="1" applyAlignment="1">
      <alignment vertical="center" wrapText="1"/>
    </xf>
    <xf numFmtId="0" fontId="4" fillId="0" borderId="11" xfId="0" applyFont="1" applyBorder="1" applyAlignment="1">
      <alignment vertical="center" wrapText="1"/>
    </xf>
    <xf numFmtId="0" fontId="4" fillId="0" borderId="3" xfId="0" quotePrefix="1" applyFont="1" applyBorder="1" applyAlignment="1">
      <alignment vertical="center" wrapText="1"/>
    </xf>
    <xf numFmtId="0" fontId="4" fillId="0" borderId="1" xfId="0" applyFont="1" applyBorder="1" applyAlignment="1">
      <alignment vertical="center" wrapText="1"/>
    </xf>
    <xf numFmtId="0" fontId="46" fillId="0" borderId="0" xfId="0" applyFont="1" applyAlignment="1">
      <alignment horizontal="center" vertical="top" wrapText="1"/>
    </xf>
    <xf numFmtId="0" fontId="47" fillId="0" borderId="0" xfId="0" applyFont="1" applyAlignment="1">
      <alignment horizontal="center" vertical="top"/>
    </xf>
    <xf numFmtId="0" fontId="4" fillId="6" borderId="66" xfId="0" applyFont="1" applyFill="1" applyBorder="1" applyAlignment="1">
      <alignment horizontal="left" vertical="top"/>
    </xf>
    <xf numFmtId="0" fontId="4" fillId="6" borderId="22" xfId="0" applyFont="1" applyFill="1" applyBorder="1" applyAlignment="1">
      <alignment horizontal="left" vertical="top"/>
    </xf>
    <xf numFmtId="0" fontId="4" fillId="6" borderId="24" xfId="0" applyFont="1" applyFill="1" applyBorder="1" applyAlignment="1">
      <alignment horizontal="center" vertical="top"/>
    </xf>
    <xf numFmtId="0" fontId="4" fillId="6" borderId="67" xfId="0" applyFont="1" applyFill="1" applyBorder="1" applyAlignment="1">
      <alignment horizontal="center" vertical="top"/>
    </xf>
    <xf numFmtId="0" fontId="4" fillId="4" borderId="58" xfId="0" applyFont="1" applyFill="1" applyBorder="1" applyAlignment="1">
      <alignment horizontal="left" vertical="center" wrapText="1"/>
    </xf>
    <xf numFmtId="0" fontId="4" fillId="4" borderId="59" xfId="0" applyFont="1" applyFill="1" applyBorder="1" applyAlignment="1">
      <alignment horizontal="left" vertical="center" wrapText="1"/>
    </xf>
    <xf numFmtId="0" fontId="4" fillId="4" borderId="60" xfId="0" applyFont="1" applyFill="1" applyBorder="1" applyAlignment="1">
      <alignment horizontal="left" vertical="center" wrapText="1"/>
    </xf>
    <xf numFmtId="0" fontId="38" fillId="0" borderId="0" xfId="0" applyFont="1" applyAlignment="1">
      <alignment horizontal="center" vertical="top"/>
    </xf>
    <xf numFmtId="0" fontId="0" fillId="0" borderId="4"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4"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164" fontId="4" fillId="0" borderId="7" xfId="0" applyNumberFormat="1" applyFont="1" applyBorder="1" applyAlignment="1">
      <alignment horizontal="left" vertical="top" wrapText="1"/>
    </xf>
    <xf numFmtId="164" fontId="4" fillId="0" borderId="3" xfId="0" applyNumberFormat="1" applyFont="1" applyBorder="1" applyAlignment="1">
      <alignment horizontal="left" vertical="top" wrapText="1"/>
    </xf>
    <xf numFmtId="164" fontId="4" fillId="0" borderId="50" xfId="0" applyNumberFormat="1" applyFont="1" applyBorder="1" applyAlignment="1">
      <alignment horizontal="left" vertical="top" wrapText="1"/>
    </xf>
    <xf numFmtId="164" fontId="4" fillId="0" borderId="53" xfId="0" applyNumberFormat="1" applyFont="1" applyBorder="1" applyAlignment="1">
      <alignment horizontal="left" vertical="top" wrapText="1"/>
    </xf>
    <xf numFmtId="0" fontId="4" fillId="0" borderId="51" xfId="0" applyFont="1" applyBorder="1" applyAlignment="1">
      <alignment horizontal="left" vertical="top" wrapText="1"/>
    </xf>
    <xf numFmtId="0" fontId="4" fillId="0" borderId="54" xfId="0" applyFont="1" applyBorder="1" applyAlignment="1">
      <alignment horizontal="left" vertical="top" wrapText="1"/>
    </xf>
    <xf numFmtId="164" fontId="4" fillId="0" borderId="8" xfId="0" applyNumberFormat="1" applyFont="1" applyBorder="1" applyAlignment="1">
      <alignment horizontal="left" vertical="top" wrapText="1"/>
    </xf>
    <xf numFmtId="164" fontId="4" fillId="0" borderId="15" xfId="0" applyNumberFormat="1" applyFont="1" applyBorder="1" applyAlignment="1">
      <alignment horizontal="left" vertical="top" wrapText="1"/>
    </xf>
    <xf numFmtId="164" fontId="4" fillId="0" borderId="0" xfId="0" applyNumberFormat="1" applyFont="1" applyAlignment="1">
      <alignment horizontal="left" vertical="top" wrapText="1"/>
    </xf>
    <xf numFmtId="164" fontId="4" fillId="0" borderId="2" xfId="0" applyNumberFormat="1" applyFont="1" applyBorder="1" applyAlignment="1">
      <alignment horizontal="left" vertical="top" wrapText="1"/>
    </xf>
    <xf numFmtId="0" fontId="4" fillId="0" borderId="49" xfId="0" applyFont="1" applyBorder="1" applyAlignment="1">
      <alignment horizontal="left" vertical="top" wrapText="1"/>
    </xf>
    <xf numFmtId="0" fontId="36" fillId="0" borderId="12" xfId="0" applyFont="1" applyBorder="1" applyAlignment="1">
      <alignment horizontal="left" vertical="top" wrapText="1"/>
    </xf>
    <xf numFmtId="0" fontId="36" fillId="0" borderId="13" xfId="0" applyFont="1" applyBorder="1" applyAlignment="1">
      <alignment horizontal="left" vertical="top" wrapText="1"/>
    </xf>
    <xf numFmtId="0" fontId="4" fillId="6" borderId="4" xfId="0" applyFont="1" applyFill="1" applyBorder="1" applyAlignment="1">
      <alignment horizontal="center" vertical="top" wrapText="1"/>
    </xf>
    <xf numFmtId="0" fontId="4" fillId="6" borderId="5" xfId="0" applyFont="1" applyFill="1" applyBorder="1" applyAlignment="1">
      <alignment horizontal="center" vertical="top" wrapText="1"/>
    </xf>
    <xf numFmtId="0" fontId="4" fillId="0" borderId="14" xfId="0" applyFont="1" applyBorder="1" applyAlignment="1">
      <alignment horizontal="center" vertical="center" wrapText="1"/>
    </xf>
    <xf numFmtId="164" fontId="4" fillId="0" borderId="63" xfId="0" applyNumberFormat="1" applyFont="1" applyBorder="1" applyAlignment="1">
      <alignment horizontal="left" vertical="top" wrapText="1"/>
    </xf>
    <xf numFmtId="164" fontId="4" fillId="0" borderId="64" xfId="0" applyNumberFormat="1" applyFont="1" applyBorder="1" applyAlignment="1">
      <alignment horizontal="left" vertical="top" wrapText="1"/>
    </xf>
    <xf numFmtId="164" fontId="4" fillId="0" borderId="46" xfId="0" applyNumberFormat="1" applyFont="1" applyBorder="1" applyAlignment="1">
      <alignment horizontal="left" vertical="top" wrapText="1"/>
    </xf>
    <xf numFmtId="164" fontId="4" fillId="0" borderId="48" xfId="0" applyNumberFormat="1" applyFont="1" applyBorder="1" applyAlignment="1">
      <alignment horizontal="left" vertical="top" wrapText="1"/>
    </xf>
    <xf numFmtId="0" fontId="4" fillId="0" borderId="47" xfId="0" applyFont="1" applyBorder="1" applyAlignment="1">
      <alignment vertical="center" wrapText="1"/>
    </xf>
    <xf numFmtId="0" fontId="4" fillId="0" borderId="41" xfId="0" applyFont="1" applyBorder="1" applyAlignment="1">
      <alignment vertical="center" wrapText="1"/>
    </xf>
    <xf numFmtId="164" fontId="4" fillId="0" borderId="14" xfId="0" applyNumberFormat="1" applyFont="1" applyBorder="1" applyAlignment="1">
      <alignment horizontal="center"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9"/>
  <sheetViews>
    <sheetView tabSelected="1" view="pageLayout" zoomScaleNormal="100" workbookViewId="0">
      <selection activeCell="P12" sqref="P12"/>
    </sheetView>
  </sheetViews>
  <sheetFormatPr defaultRowHeight="14.5" x14ac:dyDescent="0.35"/>
  <cols>
    <col min="2" max="2" width="30.7265625" bestFit="1" customWidth="1"/>
  </cols>
  <sheetData>
    <row r="2" spans="1:2" x14ac:dyDescent="0.35">
      <c r="A2" s="135"/>
      <c r="B2" s="438" t="s">
        <v>125</v>
      </c>
    </row>
    <row r="3" spans="1:2" x14ac:dyDescent="0.35">
      <c r="A3" s="135">
        <v>1</v>
      </c>
      <c r="B3" s="135" t="s">
        <v>126</v>
      </c>
    </row>
    <row r="4" spans="1:2" x14ac:dyDescent="0.35">
      <c r="A4" s="135">
        <v>2</v>
      </c>
      <c r="B4" s="172" t="s">
        <v>253</v>
      </c>
    </row>
    <row r="5" spans="1:2" x14ac:dyDescent="0.35">
      <c r="A5" s="135">
        <v>3</v>
      </c>
      <c r="B5" s="135" t="s">
        <v>128</v>
      </c>
    </row>
    <row r="6" spans="1:2" x14ac:dyDescent="0.35">
      <c r="A6" s="135">
        <v>4</v>
      </c>
      <c r="B6" s="172" t="s">
        <v>127</v>
      </c>
    </row>
    <row r="7" spans="1:2" x14ac:dyDescent="0.35">
      <c r="A7" s="135">
        <v>5</v>
      </c>
      <c r="B7" s="172" t="s">
        <v>123</v>
      </c>
    </row>
    <row r="8" spans="1:2" x14ac:dyDescent="0.35">
      <c r="A8" s="135">
        <v>6</v>
      </c>
      <c r="B8" s="172" t="s">
        <v>973</v>
      </c>
    </row>
    <row r="9" spans="1:2" x14ac:dyDescent="0.35">
      <c r="A9" s="135">
        <v>7</v>
      </c>
      <c r="B9" s="172" t="s">
        <v>974</v>
      </c>
    </row>
    <row r="10" spans="1:2" x14ac:dyDescent="0.35">
      <c r="A10" s="135">
        <v>8</v>
      </c>
      <c r="B10" s="439" t="s">
        <v>124</v>
      </c>
    </row>
    <row r="11" spans="1:2" x14ac:dyDescent="0.35">
      <c r="A11" s="135">
        <v>9</v>
      </c>
      <c r="B11" s="172" t="s">
        <v>975</v>
      </c>
    </row>
    <row r="12" spans="1:2" x14ac:dyDescent="0.35">
      <c r="A12" s="135">
        <v>10</v>
      </c>
      <c r="B12" s="172" t="s">
        <v>976</v>
      </c>
    </row>
    <row r="13" spans="1:2" x14ac:dyDescent="0.35">
      <c r="A13" s="135">
        <v>11</v>
      </c>
      <c r="B13" s="172" t="s">
        <v>977</v>
      </c>
    </row>
    <row r="14" spans="1:2" x14ac:dyDescent="0.35">
      <c r="A14" s="135">
        <v>12</v>
      </c>
      <c r="B14" s="172" t="s">
        <v>1094</v>
      </c>
    </row>
    <row r="15" spans="1:2" x14ac:dyDescent="0.35">
      <c r="A15" s="135">
        <v>13</v>
      </c>
      <c r="B15" s="172" t="s">
        <v>1095</v>
      </c>
    </row>
    <row r="16" spans="1:2" x14ac:dyDescent="0.35">
      <c r="A16" s="135">
        <v>14</v>
      </c>
      <c r="B16" s="172" t="s">
        <v>1096</v>
      </c>
    </row>
    <row r="17" spans="1:2" x14ac:dyDescent="0.35">
      <c r="A17" s="135">
        <v>15</v>
      </c>
      <c r="B17" s="172" t="s">
        <v>978</v>
      </c>
    </row>
    <row r="18" spans="1:2" x14ac:dyDescent="0.35">
      <c r="A18" s="135">
        <v>16</v>
      </c>
      <c r="B18" s="172" t="s">
        <v>979</v>
      </c>
    </row>
    <row r="19" spans="1:2" x14ac:dyDescent="0.35">
      <c r="A19" s="135">
        <v>17</v>
      </c>
      <c r="B19" s="172" t="s">
        <v>980</v>
      </c>
    </row>
  </sheetData>
  <pageMargins left="0.7" right="0.7" top="0.75" bottom="0.75" header="0.3" footer="0.3"/>
  <pageSetup orientation="portrait" r:id="rId1"/>
  <headerFooter>
    <oddHeader xml:space="preserve">&amp;CENDLINE SURVEY 
Draft 1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view="pageLayout" topLeftCell="A60" zoomScaleNormal="100" workbookViewId="0">
      <selection activeCell="G70" sqref="G70:H70"/>
    </sheetView>
  </sheetViews>
  <sheetFormatPr defaultRowHeight="14.5" x14ac:dyDescent="0.35"/>
  <cols>
    <col min="1" max="1" width="11.81640625" style="360" customWidth="1"/>
    <col min="2" max="2" width="2.81640625" bestFit="1" customWidth="1"/>
    <col min="3" max="3" width="4" bestFit="1" customWidth="1"/>
    <col min="4" max="4" width="33.54296875" customWidth="1"/>
    <col min="6" max="6" width="20.7265625" customWidth="1"/>
    <col min="7" max="7" width="6.81640625" style="316" customWidth="1"/>
    <col min="8" max="8" width="7.453125" style="316" customWidth="1"/>
    <col min="10" max="10" width="16.81640625" customWidth="1"/>
    <col min="12" max="12" width="11.26953125" customWidth="1"/>
  </cols>
  <sheetData>
    <row r="1" spans="1:12" ht="30" customHeight="1" x14ac:dyDescent="0.35">
      <c r="B1" s="472" t="s">
        <v>683</v>
      </c>
      <c r="C1" s="473"/>
      <c r="D1" s="473"/>
      <c r="E1" s="473"/>
      <c r="F1" s="473"/>
      <c r="G1" s="473"/>
      <c r="H1" s="474"/>
    </row>
    <row r="2" spans="1:12" ht="21.75" customHeight="1" thickBot="1" x14ac:dyDescent="0.4">
      <c r="A2" s="360" t="s">
        <v>722</v>
      </c>
      <c r="B2" s="475" t="s">
        <v>684</v>
      </c>
      <c r="C2" s="476"/>
      <c r="D2" s="476"/>
      <c r="E2" s="476"/>
      <c r="F2" s="476"/>
      <c r="G2" s="476"/>
      <c r="H2" s="477"/>
    </row>
    <row r="3" spans="1:12" ht="14.25" customHeight="1" x14ac:dyDescent="0.35">
      <c r="B3" s="13"/>
      <c r="C3" s="309"/>
      <c r="D3" s="309"/>
      <c r="E3" s="309"/>
      <c r="F3" s="309"/>
      <c r="G3" s="83"/>
    </row>
    <row r="4" spans="1:12" x14ac:dyDescent="0.35">
      <c r="B4" s="317"/>
      <c r="C4" s="318" t="s">
        <v>0</v>
      </c>
      <c r="D4" s="312" t="s">
        <v>1</v>
      </c>
      <c r="E4" s="482" t="s">
        <v>2</v>
      </c>
      <c r="F4" s="483"/>
      <c r="G4" s="478" t="s">
        <v>395</v>
      </c>
      <c r="H4" s="479"/>
    </row>
    <row r="5" spans="1:12" x14ac:dyDescent="0.35">
      <c r="A5" s="361" t="s">
        <v>723</v>
      </c>
      <c r="B5" s="345"/>
      <c r="C5" s="346"/>
      <c r="D5" s="350" t="s">
        <v>753</v>
      </c>
      <c r="E5" s="347"/>
      <c r="F5" s="348"/>
      <c r="G5" s="349"/>
      <c r="H5" s="81"/>
    </row>
    <row r="6" spans="1:12" ht="17.25" customHeight="1" x14ac:dyDescent="0.35">
      <c r="A6" s="361" t="s">
        <v>11</v>
      </c>
      <c r="B6" s="480" t="s">
        <v>11</v>
      </c>
      <c r="C6" s="481"/>
      <c r="D6" s="4" t="s">
        <v>12</v>
      </c>
      <c r="E6" s="470" t="s">
        <v>13</v>
      </c>
      <c r="F6" s="471"/>
      <c r="G6" s="319"/>
      <c r="H6" s="320"/>
    </row>
    <row r="7" spans="1:12" ht="18.75" customHeight="1" x14ac:dyDescent="0.35">
      <c r="A7" s="361" t="s">
        <v>14</v>
      </c>
      <c r="B7" s="480" t="s">
        <v>14</v>
      </c>
      <c r="C7" s="481"/>
      <c r="D7" s="4" t="s">
        <v>15</v>
      </c>
      <c r="E7" s="470" t="s">
        <v>13</v>
      </c>
      <c r="F7" s="471"/>
      <c r="G7" s="321"/>
      <c r="H7" s="322"/>
    </row>
    <row r="8" spans="1:12" ht="18" customHeight="1" x14ac:dyDescent="0.35">
      <c r="A8" s="361" t="s">
        <v>16</v>
      </c>
      <c r="B8" s="480" t="s">
        <v>16</v>
      </c>
      <c r="C8" s="481"/>
      <c r="D8" s="4" t="s">
        <v>17</v>
      </c>
      <c r="E8" s="470" t="s">
        <v>18</v>
      </c>
      <c r="F8" s="471"/>
      <c r="G8" s="144"/>
      <c r="H8" s="322"/>
    </row>
    <row r="9" spans="1:12" x14ac:dyDescent="0.35">
      <c r="A9" s="361" t="s">
        <v>27</v>
      </c>
      <c r="B9" s="486" t="s">
        <v>27</v>
      </c>
      <c r="C9" s="487"/>
      <c r="D9" s="6" t="s">
        <v>28</v>
      </c>
      <c r="E9" s="7">
        <v>1</v>
      </c>
      <c r="F9" s="18" t="s">
        <v>29</v>
      </c>
      <c r="G9" s="321"/>
      <c r="H9" s="322"/>
      <c r="I9" s="323"/>
      <c r="J9" s="323"/>
      <c r="K9" s="323"/>
      <c r="L9" s="323"/>
    </row>
    <row r="10" spans="1:12" x14ac:dyDescent="0.35">
      <c r="B10" s="488"/>
      <c r="C10" s="489"/>
      <c r="D10" s="16"/>
      <c r="E10" s="10">
        <f>E9+1</f>
        <v>2</v>
      </c>
      <c r="F10" s="28" t="s">
        <v>26</v>
      </c>
      <c r="G10" s="484" t="s">
        <v>685</v>
      </c>
      <c r="H10" s="485"/>
      <c r="I10" s="323"/>
      <c r="J10" s="323"/>
      <c r="K10" s="323"/>
      <c r="L10" s="323"/>
    </row>
    <row r="11" spans="1:12" ht="14.25" customHeight="1" x14ac:dyDescent="0.35">
      <c r="A11" s="361" t="s">
        <v>724</v>
      </c>
      <c r="B11" s="5" t="s">
        <v>686</v>
      </c>
      <c r="C11" s="17">
        <v>1</v>
      </c>
      <c r="D11" s="324" t="s">
        <v>687</v>
      </c>
      <c r="E11" s="7">
        <v>1</v>
      </c>
      <c r="F11" s="103" t="s">
        <v>3</v>
      </c>
      <c r="G11" s="321"/>
      <c r="H11" s="322"/>
      <c r="I11" s="323"/>
      <c r="J11" s="323"/>
      <c r="K11" s="323"/>
      <c r="L11" s="323"/>
    </row>
    <row r="12" spans="1:12" x14ac:dyDescent="0.35">
      <c r="B12" s="8"/>
      <c r="C12" s="89"/>
      <c r="D12" s="325"/>
      <c r="E12" s="21">
        <f>E11+1</f>
        <v>2</v>
      </c>
      <c r="F12" s="94" t="s">
        <v>4</v>
      </c>
      <c r="G12" s="321"/>
      <c r="H12" s="322"/>
      <c r="I12" s="323"/>
      <c r="K12" s="323"/>
      <c r="L12" s="323"/>
    </row>
    <row r="13" spans="1:12" x14ac:dyDescent="0.35">
      <c r="B13" s="11"/>
      <c r="C13" s="19"/>
      <c r="D13" s="326"/>
      <c r="E13" s="10">
        <f>E12+1</f>
        <v>3</v>
      </c>
      <c r="F13" s="92" t="s">
        <v>5</v>
      </c>
      <c r="G13" s="321"/>
      <c r="H13" s="322"/>
      <c r="I13" s="323"/>
    </row>
    <row r="14" spans="1:12" x14ac:dyDescent="0.35">
      <c r="A14" s="361" t="s">
        <v>725</v>
      </c>
      <c r="B14" s="162" t="s">
        <v>686</v>
      </c>
      <c r="C14" s="31">
        <f>C11+1</f>
        <v>2</v>
      </c>
      <c r="D14" s="463" t="s">
        <v>6</v>
      </c>
      <c r="E14" s="163">
        <v>1</v>
      </c>
      <c r="F14" s="116" t="s">
        <v>688</v>
      </c>
      <c r="G14" s="151"/>
      <c r="H14" s="320"/>
    </row>
    <row r="15" spans="1:12" ht="18" customHeight="1" x14ac:dyDescent="0.35">
      <c r="B15" s="164"/>
      <c r="C15" s="22"/>
      <c r="D15" s="453"/>
      <c r="E15" s="165">
        <f t="shared" ref="E15:E23" si="0">E14+1</f>
        <v>2</v>
      </c>
      <c r="F15" s="81" t="s">
        <v>100</v>
      </c>
      <c r="G15" s="144"/>
      <c r="H15" s="322"/>
    </row>
    <row r="16" spans="1:12" ht="15.75" customHeight="1" x14ac:dyDescent="0.35">
      <c r="B16" s="164"/>
      <c r="C16" s="22"/>
      <c r="D16" s="453"/>
      <c r="E16" s="165">
        <f t="shared" si="0"/>
        <v>3</v>
      </c>
      <c r="F16" s="81" t="s">
        <v>689</v>
      </c>
      <c r="G16" s="164"/>
      <c r="H16" s="322"/>
    </row>
    <row r="17" spans="1:8" x14ac:dyDescent="0.35">
      <c r="B17" s="164"/>
      <c r="C17" s="22"/>
      <c r="D17" s="453"/>
      <c r="E17" s="165">
        <f t="shared" si="0"/>
        <v>4</v>
      </c>
      <c r="F17" s="81" t="s">
        <v>690</v>
      </c>
      <c r="G17" s="164"/>
      <c r="H17" s="322"/>
    </row>
    <row r="18" spans="1:8" ht="15" customHeight="1" x14ac:dyDescent="0.35">
      <c r="B18" s="164"/>
      <c r="C18" s="22"/>
      <c r="D18" s="453"/>
      <c r="E18" s="165">
        <f t="shared" si="0"/>
        <v>5</v>
      </c>
      <c r="F18" s="81" t="s">
        <v>691</v>
      </c>
      <c r="G18" s="164"/>
      <c r="H18" s="322"/>
    </row>
    <row r="19" spans="1:8" x14ac:dyDescent="0.35">
      <c r="B19" s="164"/>
      <c r="C19" s="22"/>
      <c r="D19" s="453"/>
      <c r="E19" s="165">
        <f t="shared" si="0"/>
        <v>6</v>
      </c>
      <c r="F19" s="81" t="s">
        <v>692</v>
      </c>
      <c r="G19" s="164"/>
      <c r="H19" s="322"/>
    </row>
    <row r="20" spans="1:8" x14ac:dyDescent="0.35">
      <c r="B20" s="164"/>
      <c r="C20" s="97"/>
      <c r="D20" s="454"/>
      <c r="E20" s="165">
        <f t="shared" si="0"/>
        <v>7</v>
      </c>
      <c r="F20" s="81" t="s">
        <v>693</v>
      </c>
      <c r="G20" s="164"/>
      <c r="H20" s="322"/>
    </row>
    <row r="21" spans="1:8" x14ac:dyDescent="0.35">
      <c r="B21" s="164"/>
      <c r="C21" s="97"/>
      <c r="D21" s="454"/>
      <c r="E21" s="165">
        <f t="shared" si="0"/>
        <v>8</v>
      </c>
      <c r="F21" s="81" t="s">
        <v>694</v>
      </c>
      <c r="G21" s="164"/>
      <c r="H21" s="322"/>
    </row>
    <row r="22" spans="1:8" x14ac:dyDescent="0.35">
      <c r="B22" s="164"/>
      <c r="C22" s="97"/>
      <c r="D22" s="454"/>
      <c r="E22" s="165">
        <f t="shared" si="0"/>
        <v>9</v>
      </c>
      <c r="F22" s="81" t="s">
        <v>695</v>
      </c>
      <c r="G22" s="164"/>
      <c r="H22" s="322"/>
    </row>
    <row r="23" spans="1:8" x14ac:dyDescent="0.35">
      <c r="B23" s="164"/>
      <c r="C23" s="97"/>
      <c r="D23" s="454"/>
      <c r="E23" s="165">
        <f t="shared" si="0"/>
        <v>10</v>
      </c>
      <c r="F23" s="81" t="s">
        <v>696</v>
      </c>
      <c r="G23" s="164"/>
      <c r="H23" s="322"/>
    </row>
    <row r="24" spans="1:8" x14ac:dyDescent="0.35">
      <c r="B24" s="164"/>
      <c r="C24" s="97"/>
      <c r="D24" s="454"/>
      <c r="E24" s="165">
        <f>E23+1</f>
        <v>11</v>
      </c>
      <c r="F24" s="81" t="s">
        <v>697</v>
      </c>
      <c r="G24" s="164"/>
      <c r="H24" s="322"/>
    </row>
    <row r="25" spans="1:8" x14ac:dyDescent="0.35">
      <c r="B25" s="181"/>
      <c r="C25" s="120"/>
      <c r="D25" s="461"/>
      <c r="E25" s="240">
        <v>-66</v>
      </c>
      <c r="F25" s="195" t="s">
        <v>698</v>
      </c>
      <c r="G25" s="181"/>
      <c r="H25" s="327"/>
    </row>
    <row r="26" spans="1:8" x14ac:dyDescent="0.35">
      <c r="A26" s="361" t="s">
        <v>726</v>
      </c>
      <c r="B26" s="5" t="s">
        <v>686</v>
      </c>
      <c r="C26" s="14">
        <f>C14+1</f>
        <v>3</v>
      </c>
      <c r="D26" s="4" t="s">
        <v>7</v>
      </c>
      <c r="E26" s="470"/>
      <c r="F26" s="471"/>
      <c r="G26" s="313"/>
      <c r="H26" s="328"/>
    </row>
    <row r="27" spans="1:8" ht="15" customHeight="1" x14ac:dyDescent="0.35">
      <c r="A27" s="361" t="s">
        <v>727</v>
      </c>
      <c r="B27" s="8" t="s">
        <v>686</v>
      </c>
      <c r="C27" s="14">
        <f>C26+1</f>
        <v>4</v>
      </c>
      <c r="D27" s="4" t="s">
        <v>8</v>
      </c>
      <c r="E27" s="470"/>
      <c r="F27" s="471"/>
      <c r="G27" s="313"/>
      <c r="H27" s="328"/>
    </row>
    <row r="28" spans="1:8" x14ac:dyDescent="0.35">
      <c r="A28" s="361" t="s">
        <v>728</v>
      </c>
      <c r="B28" s="8" t="s">
        <v>686</v>
      </c>
      <c r="C28" s="14">
        <f>C27+1</f>
        <v>5</v>
      </c>
      <c r="D28" s="4" t="s">
        <v>9</v>
      </c>
      <c r="E28" s="470"/>
      <c r="F28" s="471"/>
      <c r="G28" s="465" t="s">
        <v>699</v>
      </c>
      <c r="H28" s="466"/>
    </row>
    <row r="29" spans="1:8" x14ac:dyDescent="0.35">
      <c r="A29" s="361" t="s">
        <v>729</v>
      </c>
      <c r="B29" s="11" t="s">
        <v>686</v>
      </c>
      <c r="C29" s="14">
        <f>C28+1</f>
        <v>6</v>
      </c>
      <c r="D29" s="4" t="s">
        <v>10</v>
      </c>
      <c r="E29" s="470"/>
      <c r="F29" s="471"/>
      <c r="G29" s="313"/>
      <c r="H29" s="328"/>
    </row>
    <row r="30" spans="1:8" x14ac:dyDescent="0.35">
      <c r="A30" s="361" t="s">
        <v>730</v>
      </c>
      <c r="B30" s="3" t="s">
        <v>686</v>
      </c>
      <c r="C30" s="14">
        <v>7</v>
      </c>
      <c r="D30" s="4" t="s">
        <v>19</v>
      </c>
      <c r="E30" s="470"/>
      <c r="F30" s="471"/>
      <c r="G30" s="310"/>
      <c r="H30" s="328"/>
    </row>
    <row r="31" spans="1:8" x14ac:dyDescent="0.35">
      <c r="A31" s="361" t="s">
        <v>731</v>
      </c>
      <c r="B31" s="3" t="s">
        <v>686</v>
      </c>
      <c r="C31" s="14">
        <f>C30+1</f>
        <v>8</v>
      </c>
      <c r="D31" s="4" t="s">
        <v>20</v>
      </c>
      <c r="E31" s="490" t="s">
        <v>21</v>
      </c>
      <c r="F31" s="491"/>
      <c r="G31" s="310"/>
      <c r="H31" s="328"/>
    </row>
    <row r="32" spans="1:8" x14ac:dyDescent="0.35">
      <c r="A32" s="361" t="s">
        <v>732</v>
      </c>
      <c r="B32" s="3" t="s">
        <v>686</v>
      </c>
      <c r="C32" s="14">
        <f>C31+1</f>
        <v>9</v>
      </c>
      <c r="D32" s="4" t="s">
        <v>22</v>
      </c>
      <c r="E32" s="470"/>
      <c r="F32" s="471"/>
      <c r="G32" s="310"/>
      <c r="H32" s="328"/>
    </row>
    <row r="33" spans="1:8" x14ac:dyDescent="0.35">
      <c r="A33" s="361" t="s">
        <v>733</v>
      </c>
      <c r="B33" s="3" t="s">
        <v>686</v>
      </c>
      <c r="C33" s="14">
        <f>C32+1</f>
        <v>10</v>
      </c>
      <c r="D33" s="4" t="s">
        <v>23</v>
      </c>
      <c r="E33" s="490" t="s">
        <v>21</v>
      </c>
      <c r="F33" s="491"/>
      <c r="G33" s="310"/>
      <c r="H33" s="328"/>
    </row>
    <row r="34" spans="1:8" x14ac:dyDescent="0.35">
      <c r="A34" s="361" t="s">
        <v>734</v>
      </c>
      <c r="B34" s="5" t="s">
        <v>686</v>
      </c>
      <c r="C34" s="459">
        <f>C33+1</f>
        <v>11</v>
      </c>
      <c r="D34" s="6" t="s">
        <v>24</v>
      </c>
      <c r="E34" s="7">
        <v>1</v>
      </c>
      <c r="F34" s="18" t="s">
        <v>25</v>
      </c>
      <c r="G34" s="151"/>
      <c r="H34" s="320"/>
    </row>
    <row r="35" spans="1:8" ht="15" customHeight="1" x14ac:dyDescent="0.35">
      <c r="B35" s="329"/>
      <c r="C35" s="467"/>
      <c r="D35" s="16"/>
      <c r="E35" s="10">
        <f>E34:F34+1</f>
        <v>2</v>
      </c>
      <c r="F35" s="28" t="s">
        <v>26</v>
      </c>
      <c r="G35" s="330"/>
      <c r="H35" s="327"/>
    </row>
    <row r="36" spans="1:8" ht="34.5" customHeight="1" x14ac:dyDescent="0.35">
      <c r="B36" s="382"/>
      <c r="C36" s="468" t="s">
        <v>30</v>
      </c>
      <c r="D36" s="469"/>
      <c r="E36" s="469"/>
      <c r="F36" s="469"/>
      <c r="G36" s="383"/>
      <c r="H36" s="384"/>
    </row>
    <row r="37" spans="1:8" ht="22.5" customHeight="1" x14ac:dyDescent="0.35">
      <c r="A37" s="361" t="s">
        <v>735</v>
      </c>
      <c r="B37" s="5" t="s">
        <v>686</v>
      </c>
      <c r="C37" s="459">
        <v>12</v>
      </c>
      <c r="D37" s="462" t="s">
        <v>700</v>
      </c>
      <c r="E37" s="238">
        <v>1</v>
      </c>
      <c r="F37" s="20" t="s">
        <v>29</v>
      </c>
      <c r="G37" s="162" t="s">
        <v>701</v>
      </c>
      <c r="H37" s="96"/>
    </row>
    <row r="38" spans="1:8" ht="24" customHeight="1" x14ac:dyDescent="0.35">
      <c r="B38" s="329"/>
      <c r="C38" s="467"/>
      <c r="D38" s="455"/>
      <c r="E38" s="165">
        <v>2</v>
      </c>
      <c r="F38" s="22" t="s">
        <v>26</v>
      </c>
      <c r="G38" s="181"/>
      <c r="H38" s="120"/>
    </row>
    <row r="39" spans="1:8" ht="15" customHeight="1" x14ac:dyDescent="0.35">
      <c r="A39" s="361" t="s">
        <v>736</v>
      </c>
      <c r="B39" s="3" t="s">
        <v>686</v>
      </c>
      <c r="C39" s="14">
        <f>C34+1</f>
        <v>12</v>
      </c>
      <c r="D39" s="4" t="s">
        <v>31</v>
      </c>
      <c r="E39" s="470"/>
      <c r="F39" s="471"/>
      <c r="G39" s="225"/>
      <c r="H39" s="226"/>
    </row>
    <row r="40" spans="1:8" ht="39.75" customHeight="1" x14ac:dyDescent="0.35">
      <c r="A40" s="361" t="s">
        <v>737</v>
      </c>
      <c r="B40" s="3" t="s">
        <v>686</v>
      </c>
      <c r="C40" s="14">
        <f t="shared" ref="C40:C45" si="1">C39+1</f>
        <v>13</v>
      </c>
      <c r="D40" s="4" t="s">
        <v>32</v>
      </c>
      <c r="E40" s="470"/>
      <c r="F40" s="471"/>
      <c r="G40" s="310"/>
      <c r="H40" s="328"/>
    </row>
    <row r="41" spans="1:8" x14ac:dyDescent="0.35">
      <c r="A41" s="361" t="s">
        <v>738</v>
      </c>
      <c r="B41" s="3" t="s">
        <v>686</v>
      </c>
      <c r="C41" s="14">
        <f t="shared" si="1"/>
        <v>14</v>
      </c>
      <c r="D41" s="4" t="s">
        <v>33</v>
      </c>
      <c r="E41" s="470"/>
      <c r="F41" s="471"/>
      <c r="G41" s="310"/>
      <c r="H41" s="328"/>
    </row>
    <row r="42" spans="1:8" x14ac:dyDescent="0.35">
      <c r="A42" s="361" t="s">
        <v>739</v>
      </c>
      <c r="B42" s="3" t="s">
        <v>686</v>
      </c>
      <c r="C42" s="14">
        <f t="shared" si="1"/>
        <v>15</v>
      </c>
      <c r="D42" s="4" t="s">
        <v>34</v>
      </c>
      <c r="E42" s="470"/>
      <c r="F42" s="471"/>
      <c r="G42" s="313"/>
      <c r="H42" s="328"/>
    </row>
    <row r="43" spans="1:8" x14ac:dyDescent="0.35">
      <c r="A43" s="361" t="s">
        <v>740</v>
      </c>
      <c r="B43" s="3" t="s">
        <v>686</v>
      </c>
      <c r="C43" s="14">
        <f t="shared" si="1"/>
        <v>16</v>
      </c>
      <c r="D43" s="315" t="s">
        <v>35</v>
      </c>
      <c r="E43" s="470"/>
      <c r="F43" s="471"/>
      <c r="G43" s="310"/>
      <c r="H43" s="328"/>
    </row>
    <row r="44" spans="1:8" x14ac:dyDescent="0.35">
      <c r="A44" s="361" t="s">
        <v>741</v>
      </c>
      <c r="B44" s="3" t="s">
        <v>686</v>
      </c>
      <c r="C44" s="14">
        <f t="shared" si="1"/>
        <v>17</v>
      </c>
      <c r="D44" s="4" t="s">
        <v>36</v>
      </c>
      <c r="E44" s="470"/>
      <c r="F44" s="471"/>
      <c r="G44" s="310"/>
      <c r="H44" s="251"/>
    </row>
    <row r="45" spans="1:8" x14ac:dyDescent="0.35">
      <c r="A45" s="361" t="s">
        <v>742</v>
      </c>
      <c r="B45" s="3" t="s">
        <v>686</v>
      </c>
      <c r="C45" s="459">
        <f t="shared" si="1"/>
        <v>18</v>
      </c>
      <c r="D45" s="458" t="s">
        <v>702</v>
      </c>
      <c r="E45" s="7">
        <v>1</v>
      </c>
      <c r="F45" s="20" t="s">
        <v>29</v>
      </c>
      <c r="G45" s="452" t="s">
        <v>703</v>
      </c>
      <c r="H45" s="453"/>
    </row>
    <row r="46" spans="1:8" ht="60" customHeight="1" x14ac:dyDescent="0.35">
      <c r="A46" s="361"/>
      <c r="B46" s="3"/>
      <c r="C46" s="467"/>
      <c r="D46" s="461"/>
      <c r="E46" s="21">
        <f>E45+1</f>
        <v>2</v>
      </c>
      <c r="F46" s="22" t="s">
        <v>26</v>
      </c>
      <c r="G46" s="452"/>
      <c r="H46" s="453"/>
    </row>
    <row r="47" spans="1:8" ht="49.5" customHeight="1" x14ac:dyDescent="0.35">
      <c r="A47" s="361" t="s">
        <v>743</v>
      </c>
      <c r="B47" s="3" t="s">
        <v>686</v>
      </c>
      <c r="C47" s="14">
        <f>C45+1</f>
        <v>19</v>
      </c>
      <c r="D47" s="4" t="s">
        <v>37</v>
      </c>
      <c r="E47" s="497" t="s">
        <v>970</v>
      </c>
      <c r="F47" s="491"/>
      <c r="G47" s="147"/>
      <c r="H47" s="2"/>
    </row>
    <row r="48" spans="1:8" ht="30" customHeight="1" x14ac:dyDescent="0.35">
      <c r="A48" s="361" t="s">
        <v>744</v>
      </c>
      <c r="B48" s="5" t="s">
        <v>686</v>
      </c>
      <c r="C48" s="17">
        <f>C47+1</f>
        <v>20</v>
      </c>
      <c r="D48" s="23" t="s">
        <v>971</v>
      </c>
      <c r="E48" s="498"/>
      <c r="F48" s="499"/>
      <c r="G48" s="310"/>
      <c r="H48" s="251"/>
    </row>
    <row r="49" spans="1:12" ht="33" customHeight="1" x14ac:dyDescent="0.35">
      <c r="A49" s="361" t="s">
        <v>745</v>
      </c>
      <c r="B49" s="8" t="s">
        <v>686</v>
      </c>
      <c r="C49" s="89">
        <f>C48+1</f>
        <v>21</v>
      </c>
      <c r="D49" s="492" t="s">
        <v>38</v>
      </c>
      <c r="E49" s="7">
        <v>1</v>
      </c>
      <c r="F49" s="31" t="s">
        <v>704</v>
      </c>
      <c r="G49" s="500" t="s">
        <v>705</v>
      </c>
      <c r="H49" s="501"/>
    </row>
    <row r="50" spans="1:12" x14ac:dyDescent="0.35">
      <c r="A50" s="361"/>
      <c r="B50" s="8"/>
      <c r="C50" s="89"/>
      <c r="D50" s="493"/>
      <c r="E50" s="21">
        <v>2</v>
      </c>
      <c r="F50" s="32" t="s">
        <v>706</v>
      </c>
      <c r="G50" s="484"/>
      <c r="H50" s="485"/>
    </row>
    <row r="51" spans="1:12" ht="27.75" customHeight="1" x14ac:dyDescent="0.35">
      <c r="A51" s="361"/>
      <c r="B51" s="8"/>
      <c r="C51" s="89"/>
      <c r="D51" s="493"/>
      <c r="E51" s="21">
        <v>3</v>
      </c>
      <c r="F51" s="32" t="s">
        <v>707</v>
      </c>
      <c r="G51" s="484"/>
      <c r="H51" s="485"/>
    </row>
    <row r="52" spans="1:12" ht="27.75" customHeight="1" x14ac:dyDescent="0.35">
      <c r="B52" s="11"/>
      <c r="C52" s="19"/>
      <c r="D52" s="494"/>
      <c r="E52" s="10">
        <v>4</v>
      </c>
      <c r="F52" s="241" t="s">
        <v>708</v>
      </c>
      <c r="G52" s="502"/>
      <c r="H52" s="503"/>
    </row>
    <row r="53" spans="1:12" ht="40.5" customHeight="1" x14ac:dyDescent="0.35">
      <c r="A53" s="361" t="s">
        <v>746</v>
      </c>
      <c r="B53" s="8" t="s">
        <v>686</v>
      </c>
      <c r="C53" s="89">
        <f>C49</f>
        <v>21</v>
      </c>
      <c r="D53" s="6" t="s">
        <v>716</v>
      </c>
      <c r="E53" s="504"/>
      <c r="F53" s="505"/>
      <c r="G53" s="310"/>
      <c r="H53" s="251"/>
    </row>
    <row r="54" spans="1:12" x14ac:dyDescent="0.35">
      <c r="A54" s="361" t="s">
        <v>747</v>
      </c>
      <c r="B54" s="495" t="s">
        <v>686</v>
      </c>
      <c r="C54" s="459">
        <f>C49</f>
        <v>21</v>
      </c>
      <c r="D54" s="458" t="s">
        <v>717</v>
      </c>
      <c r="E54" s="7">
        <v>1</v>
      </c>
      <c r="F54" s="20" t="s">
        <v>29</v>
      </c>
      <c r="G54" s="162"/>
      <c r="H54" s="320"/>
    </row>
    <row r="55" spans="1:12" x14ac:dyDescent="0.35">
      <c r="B55" s="496"/>
      <c r="C55" s="464"/>
      <c r="D55" s="454"/>
      <c r="E55" s="21">
        <v>2</v>
      </c>
      <c r="F55" s="22" t="s">
        <v>26</v>
      </c>
      <c r="G55" s="331"/>
      <c r="H55" s="322"/>
      <c r="K55" s="29"/>
      <c r="L55" s="29"/>
    </row>
    <row r="56" spans="1:12" x14ac:dyDescent="0.35">
      <c r="B56" s="193"/>
      <c r="C56" s="97"/>
      <c r="D56" s="454"/>
      <c r="E56" s="21">
        <v>-88</v>
      </c>
      <c r="F56" s="22" t="s">
        <v>103</v>
      </c>
      <c r="G56" s="164"/>
      <c r="H56" s="22"/>
      <c r="K56" s="29"/>
      <c r="L56" s="29"/>
    </row>
    <row r="57" spans="1:12" x14ac:dyDescent="0.35">
      <c r="B57" s="196"/>
      <c r="C57" s="120"/>
      <c r="D57" s="461"/>
      <c r="E57" s="10">
        <v>-99</v>
      </c>
      <c r="F57" s="2" t="s">
        <v>104</v>
      </c>
      <c r="G57" s="181"/>
      <c r="H57" s="2"/>
      <c r="K57" s="29"/>
      <c r="L57" s="29"/>
    </row>
    <row r="58" spans="1:12" ht="16.5" customHeight="1" x14ac:dyDescent="0.35">
      <c r="A58" s="361" t="s">
        <v>748</v>
      </c>
      <c r="B58" s="5" t="s">
        <v>709</v>
      </c>
      <c r="C58" s="14">
        <f>C54+1</f>
        <v>22</v>
      </c>
      <c r="D58" s="458" t="s">
        <v>39</v>
      </c>
      <c r="E58" s="25">
        <v>1</v>
      </c>
      <c r="F58" s="18" t="s">
        <v>29</v>
      </c>
      <c r="G58" s="462" t="s">
        <v>710</v>
      </c>
      <c r="H58" s="463"/>
    </row>
    <row r="59" spans="1:12" ht="95.25" customHeight="1" x14ac:dyDescent="0.35">
      <c r="B59" s="11"/>
      <c r="C59" s="19"/>
      <c r="D59" s="461"/>
      <c r="E59" s="332">
        <f>E58+1</f>
        <v>2</v>
      </c>
      <c r="F59" s="28" t="s">
        <v>26</v>
      </c>
      <c r="G59" s="455"/>
      <c r="H59" s="456"/>
    </row>
    <row r="60" spans="1:12" x14ac:dyDescent="0.35">
      <c r="A60" s="361" t="s">
        <v>749</v>
      </c>
      <c r="B60" s="5" t="s">
        <v>709</v>
      </c>
      <c r="C60" s="17">
        <f>C58+1</f>
        <v>23</v>
      </c>
      <c r="D60" s="458" t="s">
        <v>40</v>
      </c>
      <c r="E60" s="7">
        <v>1</v>
      </c>
      <c r="F60" s="18" t="s">
        <v>29</v>
      </c>
      <c r="G60" s="462" t="s">
        <v>711</v>
      </c>
      <c r="H60" s="463"/>
    </row>
    <row r="61" spans="1:12" x14ac:dyDescent="0.35">
      <c r="B61" s="333"/>
      <c r="C61" s="89"/>
      <c r="D61" s="454"/>
      <c r="E61" s="21">
        <f>E60+1</f>
        <v>2</v>
      </c>
      <c r="F61" s="314" t="s">
        <v>41</v>
      </c>
      <c r="G61" s="452"/>
      <c r="H61" s="453"/>
    </row>
    <row r="62" spans="1:12" x14ac:dyDescent="0.35">
      <c r="B62" s="333"/>
      <c r="C62" s="89"/>
      <c r="D62" s="454"/>
      <c r="E62" s="21">
        <f>E61+1</f>
        <v>3</v>
      </c>
      <c r="F62" s="314" t="s">
        <v>42</v>
      </c>
      <c r="G62" s="452"/>
      <c r="H62" s="453"/>
    </row>
    <row r="63" spans="1:12" x14ac:dyDescent="0.35">
      <c r="B63" s="333"/>
      <c r="C63" s="89"/>
      <c r="D63" s="27"/>
      <c r="E63" s="21">
        <f>E62+1</f>
        <v>4</v>
      </c>
      <c r="F63" s="314" t="s">
        <v>43</v>
      </c>
      <c r="G63" s="452"/>
      <c r="H63" s="453"/>
    </row>
    <row r="64" spans="1:12" x14ac:dyDescent="0.35">
      <c r="B64" s="333"/>
      <c r="C64" s="89"/>
      <c r="D64" s="27"/>
      <c r="E64" s="21">
        <v>5</v>
      </c>
      <c r="F64" s="314" t="s">
        <v>44</v>
      </c>
      <c r="G64" s="452"/>
      <c r="H64" s="453"/>
    </row>
    <row r="65" spans="1:8" ht="88.5" customHeight="1" x14ac:dyDescent="0.35">
      <c r="B65" s="329"/>
      <c r="C65" s="19"/>
      <c r="D65" s="334"/>
      <c r="E65" s="10">
        <v>-66</v>
      </c>
      <c r="F65" s="28" t="s">
        <v>712</v>
      </c>
      <c r="G65" s="455"/>
      <c r="H65" s="456"/>
    </row>
    <row r="66" spans="1:8" x14ac:dyDescent="0.35">
      <c r="A66" s="361" t="s">
        <v>750</v>
      </c>
      <c r="B66" s="333"/>
      <c r="C66" s="335">
        <f>C60+1</f>
        <v>24</v>
      </c>
      <c r="D66" s="457" t="s">
        <v>713</v>
      </c>
      <c r="E66" s="21">
        <v>1</v>
      </c>
      <c r="F66" s="26" t="s">
        <v>29</v>
      </c>
      <c r="G66" s="452" t="s">
        <v>718</v>
      </c>
      <c r="H66" s="453"/>
    </row>
    <row r="67" spans="1:8" ht="148.5" customHeight="1" x14ac:dyDescent="0.35">
      <c r="B67" s="333"/>
      <c r="C67" s="335"/>
      <c r="D67" s="457"/>
      <c r="E67" s="21">
        <v>2</v>
      </c>
      <c r="F67" s="26" t="s">
        <v>26</v>
      </c>
      <c r="G67" s="452"/>
      <c r="H67" s="453"/>
    </row>
    <row r="68" spans="1:8" ht="26" x14ac:dyDescent="0.35">
      <c r="A68" s="361" t="s">
        <v>751</v>
      </c>
      <c r="B68" s="5"/>
      <c r="C68" s="336">
        <f>C66+1</f>
        <v>25</v>
      </c>
      <c r="D68" s="458" t="s">
        <v>45</v>
      </c>
      <c r="E68" s="7">
        <v>1</v>
      </c>
      <c r="F68" s="18" t="s">
        <v>46</v>
      </c>
      <c r="G68" s="337"/>
      <c r="H68" s="320"/>
    </row>
    <row r="69" spans="1:8" ht="26" x14ac:dyDescent="0.35">
      <c r="B69" s="333"/>
      <c r="C69" s="335"/>
      <c r="D69" s="454"/>
      <c r="E69" s="21">
        <f>E68+1</f>
        <v>2</v>
      </c>
      <c r="F69" s="26" t="s">
        <v>47</v>
      </c>
      <c r="G69" s="338"/>
      <c r="H69" s="322"/>
    </row>
    <row r="70" spans="1:8" ht="52" x14ac:dyDescent="0.35">
      <c r="A70" s="361"/>
      <c r="B70" s="333"/>
      <c r="C70" s="459"/>
      <c r="D70" s="27"/>
      <c r="E70" s="21">
        <f>E69+1</f>
        <v>3</v>
      </c>
      <c r="F70" s="26" t="s">
        <v>48</v>
      </c>
      <c r="G70" s="452" t="s">
        <v>49</v>
      </c>
      <c r="H70" s="453"/>
    </row>
    <row r="71" spans="1:8" ht="39" x14ac:dyDescent="0.35">
      <c r="B71" s="333"/>
      <c r="C71" s="460"/>
      <c r="D71" s="27"/>
      <c r="E71" s="21">
        <f>E70+1</f>
        <v>4</v>
      </c>
      <c r="F71" s="26" t="s">
        <v>50</v>
      </c>
      <c r="G71" s="452" t="s">
        <v>714</v>
      </c>
      <c r="H71" s="453"/>
    </row>
    <row r="72" spans="1:8" ht="65" x14ac:dyDescent="0.35">
      <c r="B72" s="329"/>
      <c r="C72" s="339"/>
      <c r="D72" s="311"/>
      <c r="E72" s="10">
        <f>E71+1</f>
        <v>5</v>
      </c>
      <c r="F72" s="28" t="s">
        <v>51</v>
      </c>
      <c r="G72" s="452" t="s">
        <v>714</v>
      </c>
      <c r="H72" s="453"/>
    </row>
    <row r="73" spans="1:8" ht="26" x14ac:dyDescent="0.35">
      <c r="A73" s="361" t="s">
        <v>752</v>
      </c>
      <c r="B73" s="8"/>
      <c r="C73" s="32">
        <f>C68+1</f>
        <v>26</v>
      </c>
      <c r="D73" s="454" t="s">
        <v>52</v>
      </c>
      <c r="E73" s="21">
        <v>1</v>
      </c>
      <c r="F73" s="26" t="s">
        <v>53</v>
      </c>
      <c r="G73" s="337"/>
      <c r="H73" s="320"/>
    </row>
    <row r="74" spans="1:8" ht="26" x14ac:dyDescent="0.35">
      <c r="B74" s="333"/>
      <c r="C74" s="335"/>
      <c r="D74" s="454"/>
      <c r="E74" s="21">
        <f>E73+1</f>
        <v>2</v>
      </c>
      <c r="F74" s="26" t="s">
        <v>715</v>
      </c>
      <c r="G74" s="338"/>
      <c r="H74" s="322"/>
    </row>
    <row r="75" spans="1:8" ht="26" x14ac:dyDescent="0.35">
      <c r="B75" s="333"/>
      <c r="C75" s="335"/>
      <c r="D75" s="454"/>
      <c r="E75" s="21">
        <f>E74+1</f>
        <v>3</v>
      </c>
      <c r="F75" s="26" t="s">
        <v>54</v>
      </c>
      <c r="G75" s="452" t="s">
        <v>719</v>
      </c>
      <c r="H75" s="453"/>
    </row>
    <row r="76" spans="1:8" ht="26" x14ac:dyDescent="0.35">
      <c r="B76" s="329"/>
      <c r="C76" s="339"/>
      <c r="D76" s="311"/>
      <c r="E76" s="10">
        <f>E75+1</f>
        <v>4</v>
      </c>
      <c r="F76" s="28" t="s">
        <v>55</v>
      </c>
      <c r="G76" s="455"/>
      <c r="H76" s="456"/>
    </row>
  </sheetData>
  <mergeCells count="60">
    <mergeCell ref="E44:F44"/>
    <mergeCell ref="D49:D52"/>
    <mergeCell ref="B54:B55"/>
    <mergeCell ref="G45:H46"/>
    <mergeCell ref="E47:F47"/>
    <mergeCell ref="E48:F48"/>
    <mergeCell ref="C45:C46"/>
    <mergeCell ref="D45:D46"/>
    <mergeCell ref="G49:H49"/>
    <mergeCell ref="G50:H50"/>
    <mergeCell ref="G51:H51"/>
    <mergeCell ref="G52:H52"/>
    <mergeCell ref="E53:F53"/>
    <mergeCell ref="B8:C8"/>
    <mergeCell ref="E8:F8"/>
    <mergeCell ref="B9:C10"/>
    <mergeCell ref="E28:F28"/>
    <mergeCell ref="E40:F40"/>
    <mergeCell ref="E29:F29"/>
    <mergeCell ref="E30:F30"/>
    <mergeCell ref="E31:F31"/>
    <mergeCell ref="E32:F32"/>
    <mergeCell ref="E33:F33"/>
    <mergeCell ref="E39:F39"/>
    <mergeCell ref="E41:F41"/>
    <mergeCell ref="E42:F42"/>
    <mergeCell ref="E43:F43"/>
    <mergeCell ref="B1:H1"/>
    <mergeCell ref="B2:H2"/>
    <mergeCell ref="G4:H4"/>
    <mergeCell ref="B6:C6"/>
    <mergeCell ref="B7:C7"/>
    <mergeCell ref="E4:F4"/>
    <mergeCell ref="E6:F6"/>
    <mergeCell ref="E7:F7"/>
    <mergeCell ref="G10:H10"/>
    <mergeCell ref="D14:D19"/>
    <mergeCell ref="D20:D25"/>
    <mergeCell ref="E26:F26"/>
    <mergeCell ref="E27:F27"/>
    <mergeCell ref="G28:H28"/>
    <mergeCell ref="C34:C35"/>
    <mergeCell ref="C36:F36"/>
    <mergeCell ref="C37:C38"/>
    <mergeCell ref="D37:D38"/>
    <mergeCell ref="C70:C71"/>
    <mergeCell ref="G70:H70"/>
    <mergeCell ref="G71:H71"/>
    <mergeCell ref="D54:D57"/>
    <mergeCell ref="D58:D59"/>
    <mergeCell ref="G58:H59"/>
    <mergeCell ref="D60:D62"/>
    <mergeCell ref="G60:H65"/>
    <mergeCell ref="C54:C55"/>
    <mergeCell ref="G72:H72"/>
    <mergeCell ref="D73:D75"/>
    <mergeCell ref="G75:H76"/>
    <mergeCell ref="D66:D67"/>
    <mergeCell ref="G66:H67"/>
    <mergeCell ref="D68:D69"/>
  </mergeCells>
  <pageMargins left="0.7" right="0.7" top="0.75" bottom="0.75" header="0.3" footer="0.3"/>
  <pageSetup orientation="portrait" r:id="rId1"/>
  <headerFooter>
    <oddHeader xml:space="preserve">&amp;C INTRODUCTION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
  <sheetViews>
    <sheetView view="pageLayout" topLeftCell="B1" zoomScaleNormal="100" workbookViewId="0">
      <selection activeCell="G9" sqref="G9"/>
    </sheetView>
  </sheetViews>
  <sheetFormatPr defaultRowHeight="14.5" x14ac:dyDescent="0.35"/>
  <cols>
    <col min="1" max="1" width="9.1796875" style="351" hidden="1" customWidth="1"/>
    <col min="2" max="2" width="3.26953125" customWidth="1"/>
    <col min="3" max="3" width="5.54296875" customWidth="1"/>
    <col min="4" max="4" width="29.453125" customWidth="1"/>
    <col min="5" max="5" width="5" customWidth="1"/>
    <col min="6" max="6" width="26.26953125" customWidth="1"/>
    <col min="7" max="7" width="9.453125" style="135" customWidth="1"/>
    <col min="8" max="8" width="17.81640625" customWidth="1"/>
  </cols>
  <sheetData>
    <row r="1" spans="1:7" x14ac:dyDescent="0.35">
      <c r="B1" s="506" t="s">
        <v>0</v>
      </c>
      <c r="C1" s="507"/>
      <c r="D1" s="289" t="s">
        <v>1</v>
      </c>
      <c r="E1" s="506" t="s">
        <v>2</v>
      </c>
      <c r="F1" s="507"/>
      <c r="G1" s="385" t="s">
        <v>395</v>
      </c>
    </row>
    <row r="2" spans="1:7" x14ac:dyDescent="0.35">
      <c r="B2" s="508" t="s">
        <v>56</v>
      </c>
      <c r="C2" s="510">
        <v>1</v>
      </c>
      <c r="D2" s="511" t="s">
        <v>57</v>
      </c>
      <c r="E2" s="36">
        <v>1</v>
      </c>
      <c r="F2" s="37" t="s">
        <v>58</v>
      </c>
      <c r="G2" s="188"/>
    </row>
    <row r="3" spans="1:7" x14ac:dyDescent="0.35">
      <c r="A3" s="352" t="s">
        <v>754</v>
      </c>
      <c r="B3" s="509"/>
      <c r="C3" s="510"/>
      <c r="D3" s="512"/>
      <c r="E3" s="38">
        <v>2</v>
      </c>
      <c r="F3" s="39" t="s">
        <v>59</v>
      </c>
      <c r="G3" s="329"/>
    </row>
    <row r="4" spans="1:7" ht="80.5" x14ac:dyDescent="0.35">
      <c r="A4" s="352" t="s">
        <v>755</v>
      </c>
      <c r="B4" s="398" t="s">
        <v>60</v>
      </c>
      <c r="C4" s="40" t="s">
        <v>61</v>
      </c>
      <c r="D4" s="340" t="s">
        <v>62</v>
      </c>
      <c r="E4" s="515" t="s">
        <v>63</v>
      </c>
      <c r="F4" s="516"/>
      <c r="G4" s="333"/>
    </row>
    <row r="5" spans="1:7" ht="26.5" x14ac:dyDescent="0.35">
      <c r="A5" s="352" t="s">
        <v>756</v>
      </c>
      <c r="B5" s="509" t="s">
        <v>56</v>
      </c>
      <c r="C5" s="40" t="s">
        <v>64</v>
      </c>
      <c r="D5" s="41" t="s">
        <v>65</v>
      </c>
      <c r="E5" s="42">
        <v>1</v>
      </c>
      <c r="F5" s="37" t="s">
        <v>66</v>
      </c>
      <c r="G5" s="188"/>
    </row>
    <row r="6" spans="1:7" ht="26.5" x14ac:dyDescent="0.35">
      <c r="B6" s="509"/>
      <c r="C6" s="43"/>
      <c r="D6" s="44"/>
      <c r="E6" s="45">
        <f>E5+1</f>
        <v>2</v>
      </c>
      <c r="F6" s="46" t="s">
        <v>958</v>
      </c>
      <c r="G6" s="333"/>
    </row>
    <row r="7" spans="1:7" ht="26.5" x14ac:dyDescent="0.35">
      <c r="B7" s="509"/>
      <c r="C7" s="43"/>
      <c r="D7" s="44"/>
      <c r="E7" s="386">
        <f>E6+1</f>
        <v>3</v>
      </c>
      <c r="F7" s="46" t="s">
        <v>67</v>
      </c>
      <c r="G7" s="333"/>
    </row>
    <row r="8" spans="1:7" ht="39.5" x14ac:dyDescent="0.35">
      <c r="B8" s="398"/>
      <c r="C8" s="43"/>
      <c r="D8" s="44"/>
      <c r="E8" s="386">
        <f>E7+1</f>
        <v>4</v>
      </c>
      <c r="F8" s="46" t="s">
        <v>68</v>
      </c>
      <c r="G8" s="333"/>
    </row>
    <row r="9" spans="1:7" ht="39.5" x14ac:dyDescent="0.35">
      <c r="B9" s="398"/>
      <c r="C9" s="47"/>
      <c r="D9" s="48"/>
      <c r="E9" s="387">
        <f>E8+1</f>
        <v>5</v>
      </c>
      <c r="F9" s="46" t="s">
        <v>69</v>
      </c>
      <c r="G9" s="442" t="s">
        <v>972</v>
      </c>
    </row>
    <row r="10" spans="1:7" ht="39" customHeight="1" x14ac:dyDescent="0.35">
      <c r="A10" s="352" t="s">
        <v>757</v>
      </c>
      <c r="B10" s="509" t="s">
        <v>56</v>
      </c>
      <c r="C10" s="40" t="s">
        <v>70</v>
      </c>
      <c r="D10" s="340" t="s">
        <v>71</v>
      </c>
      <c r="E10" s="42">
        <v>1</v>
      </c>
      <c r="F10" s="37" t="s">
        <v>72</v>
      </c>
      <c r="G10" s="443" t="s">
        <v>73</v>
      </c>
    </row>
    <row r="11" spans="1:7" ht="26.5" x14ac:dyDescent="0.35">
      <c r="B11" s="509"/>
      <c r="C11" s="43"/>
      <c r="D11" s="44" t="s">
        <v>74</v>
      </c>
      <c r="E11" s="45">
        <f>E10+1</f>
        <v>2</v>
      </c>
      <c r="F11" s="46" t="s">
        <v>75</v>
      </c>
      <c r="G11" s="442" t="s">
        <v>76</v>
      </c>
    </row>
    <row r="12" spans="1:7" ht="26.5" x14ac:dyDescent="0.35">
      <c r="B12" s="509"/>
      <c r="C12" s="43"/>
      <c r="D12" s="517" t="s">
        <v>77</v>
      </c>
      <c r="E12" s="45">
        <f>E11+1</f>
        <v>3</v>
      </c>
      <c r="F12" s="46" t="s">
        <v>78</v>
      </c>
      <c r="G12" s="442" t="s">
        <v>76</v>
      </c>
    </row>
    <row r="13" spans="1:7" ht="26.5" x14ac:dyDescent="0.35">
      <c r="B13" s="398"/>
      <c r="C13" s="43"/>
      <c r="D13" s="517"/>
      <c r="E13" s="386">
        <f>E12+1</f>
        <v>4</v>
      </c>
      <c r="F13" s="46" t="s">
        <v>79</v>
      </c>
      <c r="G13" s="442" t="s">
        <v>76</v>
      </c>
    </row>
    <row r="14" spans="1:7" ht="39.5" x14ac:dyDescent="0.35">
      <c r="B14" s="398"/>
      <c r="C14" s="43"/>
      <c r="D14" s="517"/>
      <c r="E14" s="386">
        <f>E13+1</f>
        <v>5</v>
      </c>
      <c r="F14" s="46" t="s">
        <v>68</v>
      </c>
      <c r="G14" s="442" t="s">
        <v>972</v>
      </c>
    </row>
    <row r="15" spans="1:7" ht="39.5" x14ac:dyDescent="0.35">
      <c r="B15" s="398"/>
      <c r="C15" s="47"/>
      <c r="D15" s="48"/>
      <c r="E15" s="387">
        <f>E14+1</f>
        <v>6</v>
      </c>
      <c r="F15" s="39" t="s">
        <v>69</v>
      </c>
      <c r="G15" s="442" t="s">
        <v>972</v>
      </c>
    </row>
    <row r="16" spans="1:7" ht="37.5" customHeight="1" x14ac:dyDescent="0.35">
      <c r="A16" s="352" t="s">
        <v>758</v>
      </c>
      <c r="B16" s="398" t="s">
        <v>60</v>
      </c>
      <c r="C16" s="49" t="s">
        <v>80</v>
      </c>
      <c r="D16" s="341" t="s">
        <v>81</v>
      </c>
      <c r="E16" s="513" t="s">
        <v>720</v>
      </c>
      <c r="F16" s="514"/>
      <c r="G16" s="442" t="s">
        <v>82</v>
      </c>
    </row>
    <row r="17" spans="1:7" ht="26.5" x14ac:dyDescent="0.35">
      <c r="A17" s="352" t="s">
        <v>759</v>
      </c>
      <c r="B17" s="398" t="s">
        <v>60</v>
      </c>
      <c r="C17" s="49" t="s">
        <v>83</v>
      </c>
      <c r="D17" s="50" t="s">
        <v>84</v>
      </c>
      <c r="E17" s="513" t="s">
        <v>85</v>
      </c>
      <c r="F17" s="514"/>
      <c r="G17" s="444"/>
    </row>
    <row r="18" spans="1:7" x14ac:dyDescent="0.35">
      <c r="A18" s="352" t="s">
        <v>760</v>
      </c>
      <c r="B18" s="398" t="s">
        <v>60</v>
      </c>
      <c r="C18" s="40">
        <v>4</v>
      </c>
      <c r="D18" s="33" t="s">
        <v>86</v>
      </c>
      <c r="E18" s="36">
        <v>1</v>
      </c>
      <c r="F18" s="34" t="s">
        <v>87</v>
      </c>
      <c r="G18" s="188"/>
    </row>
    <row r="19" spans="1:7" x14ac:dyDescent="0.35">
      <c r="B19" s="68"/>
      <c r="C19" s="43"/>
      <c r="D19" s="51"/>
      <c r="E19" s="52">
        <f t="shared" ref="E19:E32" si="0">E18+1</f>
        <v>2</v>
      </c>
      <c r="F19" s="34" t="s">
        <v>88</v>
      </c>
      <c r="G19" s="333"/>
    </row>
    <row r="20" spans="1:7" x14ac:dyDescent="0.35">
      <c r="B20" s="68"/>
      <c r="C20" s="43"/>
      <c r="D20" s="53"/>
      <c r="E20" s="52">
        <f t="shared" si="0"/>
        <v>3</v>
      </c>
      <c r="F20" s="34" t="s">
        <v>89</v>
      </c>
      <c r="G20" s="333"/>
    </row>
    <row r="21" spans="1:7" x14ac:dyDescent="0.35">
      <c r="B21" s="68"/>
      <c r="C21" s="43"/>
      <c r="D21" s="53"/>
      <c r="E21" s="52">
        <f t="shared" si="0"/>
        <v>4</v>
      </c>
      <c r="F21" s="34" t="s">
        <v>90</v>
      </c>
      <c r="G21" s="333"/>
    </row>
    <row r="22" spans="1:7" x14ac:dyDescent="0.35">
      <c r="B22" s="68"/>
      <c r="C22" s="43"/>
      <c r="D22" s="53"/>
      <c r="E22" s="52">
        <f t="shared" si="0"/>
        <v>5</v>
      </c>
      <c r="F22" s="34" t="s">
        <v>91</v>
      </c>
      <c r="G22" s="333"/>
    </row>
    <row r="23" spans="1:7" x14ac:dyDescent="0.35">
      <c r="B23" s="68"/>
      <c r="C23" s="43"/>
      <c r="D23" s="53"/>
      <c r="E23" s="52">
        <f t="shared" si="0"/>
        <v>6</v>
      </c>
      <c r="F23" s="34" t="s">
        <v>92</v>
      </c>
      <c r="G23" s="333"/>
    </row>
    <row r="24" spans="1:7" x14ac:dyDescent="0.35">
      <c r="B24" s="68"/>
      <c r="C24" s="43"/>
      <c r="D24" s="53"/>
      <c r="E24" s="52">
        <f t="shared" si="0"/>
        <v>7</v>
      </c>
      <c r="F24" s="34" t="s">
        <v>93</v>
      </c>
      <c r="G24" s="333"/>
    </row>
    <row r="25" spans="1:7" x14ac:dyDescent="0.35">
      <c r="B25" s="68"/>
      <c r="C25" s="43"/>
      <c r="D25" s="53"/>
      <c r="E25" s="52">
        <f t="shared" si="0"/>
        <v>8</v>
      </c>
      <c r="F25" s="34" t="s">
        <v>94</v>
      </c>
      <c r="G25" s="333"/>
    </row>
    <row r="26" spans="1:7" x14ac:dyDescent="0.35">
      <c r="B26" s="68"/>
      <c r="C26" s="43"/>
      <c r="D26" s="53"/>
      <c r="E26" s="52">
        <f t="shared" si="0"/>
        <v>9</v>
      </c>
      <c r="F26" s="34" t="s">
        <v>95</v>
      </c>
      <c r="G26" s="333"/>
    </row>
    <row r="27" spans="1:7" x14ac:dyDescent="0.35">
      <c r="B27" s="68"/>
      <c r="C27" s="43"/>
      <c r="D27" s="53"/>
      <c r="E27" s="52">
        <f t="shared" si="0"/>
        <v>10</v>
      </c>
      <c r="F27" s="34" t="s">
        <v>96</v>
      </c>
      <c r="G27" s="333"/>
    </row>
    <row r="28" spans="1:7" x14ac:dyDescent="0.35">
      <c r="B28" s="68"/>
      <c r="C28" s="43"/>
      <c r="D28" s="53"/>
      <c r="E28" s="52">
        <f t="shared" si="0"/>
        <v>11</v>
      </c>
      <c r="F28" s="34" t="s">
        <v>97</v>
      </c>
      <c r="G28" s="333"/>
    </row>
    <row r="29" spans="1:7" x14ac:dyDescent="0.35">
      <c r="B29" s="68"/>
      <c r="C29" s="43"/>
      <c r="D29" s="53"/>
      <c r="E29" s="52">
        <f t="shared" si="0"/>
        <v>12</v>
      </c>
      <c r="F29" s="34" t="s">
        <v>98</v>
      </c>
      <c r="G29" s="333"/>
    </row>
    <row r="30" spans="1:7" x14ac:dyDescent="0.35">
      <c r="B30" s="68"/>
      <c r="C30" s="43"/>
      <c r="D30" s="53"/>
      <c r="E30" s="52">
        <f t="shared" si="0"/>
        <v>13</v>
      </c>
      <c r="F30" s="34" t="s">
        <v>99</v>
      </c>
      <c r="G30" s="333"/>
    </row>
    <row r="31" spans="1:7" x14ac:dyDescent="0.35">
      <c r="B31" s="68"/>
      <c r="C31" s="43"/>
      <c r="D31" s="53"/>
      <c r="E31" s="52">
        <f t="shared" si="0"/>
        <v>14</v>
      </c>
      <c r="F31" s="34" t="s">
        <v>100</v>
      </c>
      <c r="G31" s="333"/>
    </row>
    <row r="32" spans="1:7" x14ac:dyDescent="0.35">
      <c r="B32" s="68"/>
      <c r="C32" s="43"/>
      <c r="D32" s="53"/>
      <c r="E32" s="52">
        <f t="shared" si="0"/>
        <v>15</v>
      </c>
      <c r="F32" s="34" t="s">
        <v>101</v>
      </c>
      <c r="G32" s="333"/>
    </row>
    <row r="33" spans="1:7" ht="26.5" x14ac:dyDescent="0.35">
      <c r="B33" s="68"/>
      <c r="C33" s="43"/>
      <c r="D33" s="53"/>
      <c r="E33" s="52">
        <v>-66</v>
      </c>
      <c r="F33" s="46" t="s">
        <v>102</v>
      </c>
      <c r="G33" s="333"/>
    </row>
    <row r="34" spans="1:7" x14ac:dyDescent="0.35">
      <c r="B34" s="68"/>
      <c r="C34" s="43"/>
      <c r="D34" s="53"/>
      <c r="E34" s="52">
        <v>-88</v>
      </c>
      <c r="F34" s="46" t="s">
        <v>103</v>
      </c>
      <c r="G34" s="333"/>
    </row>
    <row r="35" spans="1:7" x14ac:dyDescent="0.35">
      <c r="B35" s="68"/>
      <c r="C35" s="47"/>
      <c r="D35" s="53"/>
      <c r="E35" s="38">
        <v>-99</v>
      </c>
      <c r="F35" s="39" t="s">
        <v>104</v>
      </c>
      <c r="G35" s="329"/>
    </row>
    <row r="36" spans="1:7" x14ac:dyDescent="0.35">
      <c r="A36" s="352" t="s">
        <v>761</v>
      </c>
      <c r="B36" s="398" t="s">
        <v>60</v>
      </c>
      <c r="C36" s="40">
        <f>C18+1</f>
        <v>5</v>
      </c>
      <c r="D36" s="54" t="s">
        <v>105</v>
      </c>
      <c r="E36" s="52">
        <v>1</v>
      </c>
      <c r="F36" s="46" t="s">
        <v>106</v>
      </c>
      <c r="G36" s="333"/>
    </row>
    <row r="37" spans="1:7" ht="26.5" x14ac:dyDescent="0.35">
      <c r="B37" s="68"/>
      <c r="C37" s="43"/>
      <c r="D37" s="53"/>
      <c r="E37" s="52">
        <f t="shared" ref="E37:E43" si="1">E36+1</f>
        <v>2</v>
      </c>
      <c r="F37" s="46" t="s">
        <v>107</v>
      </c>
      <c r="G37" s="333"/>
    </row>
    <row r="38" spans="1:7" ht="26.5" x14ac:dyDescent="0.35">
      <c r="B38" s="68"/>
      <c r="C38" s="43"/>
      <c r="D38" s="53"/>
      <c r="E38" s="52">
        <f t="shared" si="1"/>
        <v>3</v>
      </c>
      <c r="F38" s="46" t="s">
        <v>108</v>
      </c>
      <c r="G38" s="333"/>
    </row>
    <row r="39" spans="1:7" x14ac:dyDescent="0.35">
      <c r="B39" s="68"/>
      <c r="C39" s="43"/>
      <c r="D39" s="53"/>
      <c r="E39" s="52">
        <f t="shared" si="1"/>
        <v>4</v>
      </c>
      <c r="F39" s="46" t="s">
        <v>109</v>
      </c>
      <c r="G39" s="333"/>
    </row>
    <row r="40" spans="1:7" x14ac:dyDescent="0.35">
      <c r="B40" s="68"/>
      <c r="C40" s="43"/>
      <c r="D40" s="53"/>
      <c r="E40" s="52">
        <f t="shared" si="1"/>
        <v>5</v>
      </c>
      <c r="F40" s="46" t="s">
        <v>110</v>
      </c>
      <c r="G40" s="333"/>
    </row>
    <row r="41" spans="1:7" x14ac:dyDescent="0.35">
      <c r="B41" s="68"/>
      <c r="C41" s="43"/>
      <c r="D41" s="53"/>
      <c r="E41" s="52">
        <f t="shared" si="1"/>
        <v>6</v>
      </c>
      <c r="F41" s="46" t="s">
        <v>111</v>
      </c>
      <c r="G41" s="333"/>
    </row>
    <row r="42" spans="1:7" x14ac:dyDescent="0.35">
      <c r="B42" s="68"/>
      <c r="C42" s="43"/>
      <c r="D42" s="53"/>
      <c r="E42" s="52">
        <f t="shared" si="1"/>
        <v>7</v>
      </c>
      <c r="F42" s="46" t="s">
        <v>112</v>
      </c>
      <c r="G42" s="333"/>
    </row>
    <row r="43" spans="1:7" x14ac:dyDescent="0.35">
      <c r="B43" s="68"/>
      <c r="C43" s="43"/>
      <c r="D43" s="53"/>
      <c r="E43" s="52">
        <f t="shared" si="1"/>
        <v>8</v>
      </c>
      <c r="F43" s="46" t="s">
        <v>113</v>
      </c>
      <c r="G43" s="333"/>
    </row>
    <row r="44" spans="1:7" ht="39.5" x14ac:dyDescent="0.35">
      <c r="B44" s="68"/>
      <c r="C44" s="43"/>
      <c r="D44" s="53"/>
      <c r="E44" s="52">
        <v>9</v>
      </c>
      <c r="F44" s="46" t="s">
        <v>114</v>
      </c>
      <c r="G44" s="333"/>
    </row>
    <row r="45" spans="1:7" ht="26.5" x14ac:dyDescent="0.35">
      <c r="B45" s="68"/>
      <c r="C45" s="43"/>
      <c r="D45" s="53"/>
      <c r="E45" s="52">
        <v>-66</v>
      </c>
      <c r="F45" s="46" t="s">
        <v>115</v>
      </c>
      <c r="G45" s="333"/>
    </row>
    <row r="46" spans="1:7" x14ac:dyDescent="0.35">
      <c r="B46" s="68"/>
      <c r="C46" s="43"/>
      <c r="D46" s="53"/>
      <c r="E46" s="52">
        <v>-88</v>
      </c>
      <c r="F46" s="46" t="s">
        <v>103</v>
      </c>
      <c r="G46" s="333"/>
    </row>
    <row r="47" spans="1:7" x14ac:dyDescent="0.35">
      <c r="B47" s="68"/>
      <c r="C47" s="43"/>
      <c r="D47" s="55"/>
      <c r="E47" s="38">
        <v>-99</v>
      </c>
      <c r="F47" s="39" t="s">
        <v>104</v>
      </c>
      <c r="G47" s="333"/>
    </row>
    <row r="48" spans="1:7" x14ac:dyDescent="0.35">
      <c r="A48" s="352" t="s">
        <v>762</v>
      </c>
      <c r="B48" s="398" t="s">
        <v>60</v>
      </c>
      <c r="C48" s="40">
        <f>C36+1</f>
        <v>6</v>
      </c>
      <c r="D48" s="35" t="s">
        <v>116</v>
      </c>
      <c r="E48" s="36">
        <v>1</v>
      </c>
      <c r="F48" s="37" t="s">
        <v>117</v>
      </c>
      <c r="G48" s="445"/>
    </row>
    <row r="49" spans="2:7" ht="26.5" x14ac:dyDescent="0.35">
      <c r="B49" s="398"/>
      <c r="C49" s="43"/>
      <c r="D49" s="33"/>
      <c r="E49" s="52">
        <f>E48+1</f>
        <v>2</v>
      </c>
      <c r="F49" s="46" t="s">
        <v>118</v>
      </c>
      <c r="G49" s="266"/>
    </row>
    <row r="50" spans="2:7" x14ac:dyDescent="0.35">
      <c r="B50" s="68"/>
      <c r="C50" s="43"/>
      <c r="D50" s="53"/>
      <c r="E50" s="52">
        <f>E49+1</f>
        <v>3</v>
      </c>
      <c r="F50" s="46" t="s">
        <v>119</v>
      </c>
      <c r="G50" s="266"/>
    </row>
    <row r="51" spans="2:7" x14ac:dyDescent="0.35">
      <c r="B51" s="68"/>
      <c r="C51" s="43"/>
      <c r="D51" s="53"/>
      <c r="E51" s="52">
        <f>E50+1</f>
        <v>4</v>
      </c>
      <c r="F51" s="46" t="s">
        <v>120</v>
      </c>
      <c r="G51" s="266"/>
    </row>
    <row r="52" spans="2:7" x14ac:dyDescent="0.35">
      <c r="B52" s="68"/>
      <c r="C52" s="43"/>
      <c r="D52" s="53"/>
      <c r="E52" s="52">
        <f>E51+1</f>
        <v>5</v>
      </c>
      <c r="F52" s="46" t="s">
        <v>121</v>
      </c>
      <c r="G52" s="266"/>
    </row>
    <row r="53" spans="2:7" ht="26.5" x14ac:dyDescent="0.35">
      <c r="B53" s="68"/>
      <c r="C53" s="56"/>
      <c r="D53" s="53"/>
      <c r="E53" s="52">
        <f>E52+1</f>
        <v>6</v>
      </c>
      <c r="F53" s="46" t="s">
        <v>122</v>
      </c>
      <c r="G53" s="266"/>
    </row>
    <row r="54" spans="2:7" x14ac:dyDescent="0.35">
      <c r="B54" s="68"/>
      <c r="C54" s="56"/>
      <c r="D54" s="53"/>
      <c r="E54" s="52">
        <v>-88</v>
      </c>
      <c r="F54" s="46" t="s">
        <v>103</v>
      </c>
      <c r="G54" s="266"/>
    </row>
    <row r="55" spans="2:7" x14ac:dyDescent="0.35">
      <c r="B55" s="72"/>
      <c r="C55" s="57"/>
      <c r="D55" s="55"/>
      <c r="E55" s="38">
        <v>-99</v>
      </c>
      <c r="F55" s="39" t="s">
        <v>104</v>
      </c>
      <c r="G55" s="266"/>
    </row>
  </sheetData>
  <mergeCells count="11">
    <mergeCell ref="E16:F16"/>
    <mergeCell ref="E17:F17"/>
    <mergeCell ref="E4:F4"/>
    <mergeCell ref="B5:B7"/>
    <mergeCell ref="B10:B12"/>
    <mergeCell ref="D12:D14"/>
    <mergeCell ref="B1:C1"/>
    <mergeCell ref="E1:F1"/>
    <mergeCell ref="B2:B3"/>
    <mergeCell ref="C2:C3"/>
    <mergeCell ref="D2:D3"/>
  </mergeCells>
  <pageMargins left="0.7" right="0.7" top="0.75" bottom="0.75" header="0.3" footer="0.3"/>
  <pageSetup orientation="portrait" r:id="rId1"/>
  <headerFooter>
    <oddHeader xml:space="preserve">&amp;CBASIC INFORMATION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2"/>
  <sheetViews>
    <sheetView view="pageLayout" topLeftCell="B46" zoomScaleNormal="100" workbookViewId="0">
      <selection activeCell="F66" sqref="F66"/>
    </sheetView>
  </sheetViews>
  <sheetFormatPr defaultColWidth="12.26953125" defaultRowHeight="13" x14ac:dyDescent="0.35"/>
  <cols>
    <col min="1" max="1" width="13.54296875" style="359" hidden="1" customWidth="1"/>
    <col min="2" max="2" width="2.453125" style="58" customWidth="1"/>
    <col min="3" max="3" width="4.54296875" style="82" bestFit="1" customWidth="1"/>
    <col min="4" max="4" width="31.54296875" style="58" customWidth="1"/>
    <col min="5" max="5" width="8" style="58" customWidth="1"/>
    <col min="6" max="6" width="34.54296875" style="58" customWidth="1"/>
    <col min="7" max="7" width="2.54296875" style="122" customWidth="1"/>
    <col min="8" max="8" width="4.81640625" style="122" customWidth="1"/>
    <col min="9" max="16384" width="12.26953125" style="58"/>
  </cols>
  <sheetData>
    <row r="1" spans="1:8" x14ac:dyDescent="0.35">
      <c r="B1" s="115"/>
      <c r="C1" s="81"/>
      <c r="D1" s="29"/>
      <c r="F1" s="82"/>
    </row>
    <row r="2" spans="1:8" ht="14.5" x14ac:dyDescent="0.35">
      <c r="B2" s="115"/>
      <c r="C2" s="518" t="s">
        <v>155</v>
      </c>
      <c r="D2" s="519"/>
      <c r="E2" s="519"/>
      <c r="F2" s="519"/>
      <c r="G2" s="519"/>
      <c r="H2" s="519"/>
    </row>
    <row r="3" spans="1:8" ht="14.5" x14ac:dyDescent="0.35">
      <c r="B3" s="115"/>
      <c r="C3" s="83"/>
      <c r="D3" s="1"/>
      <c r="E3" s="1"/>
      <c r="F3" s="1"/>
      <c r="G3" s="123"/>
      <c r="H3" s="123"/>
    </row>
    <row r="4" spans="1:8" ht="156.75" customHeight="1" x14ac:dyDescent="0.35">
      <c r="A4" s="359" t="s">
        <v>722</v>
      </c>
      <c r="B4" s="520" t="s">
        <v>1123</v>
      </c>
      <c r="C4" s="521"/>
      <c r="D4" s="521"/>
      <c r="E4" s="521"/>
      <c r="F4" s="522"/>
      <c r="G4" s="124"/>
      <c r="H4" s="124"/>
    </row>
    <row r="5" spans="1:8" x14ac:dyDescent="0.35">
      <c r="B5" s="523" t="s">
        <v>0</v>
      </c>
      <c r="C5" s="524"/>
      <c r="D5" s="290" t="s">
        <v>1</v>
      </c>
      <c r="E5" s="291"/>
      <c r="F5" s="292" t="s">
        <v>2</v>
      </c>
      <c r="G5" s="525" t="s">
        <v>252</v>
      </c>
      <c r="H5" s="526"/>
    </row>
    <row r="6" spans="1:8" ht="117" x14ac:dyDescent="0.35">
      <c r="A6" s="353" t="s">
        <v>763</v>
      </c>
      <c r="B6" s="344" t="s">
        <v>156</v>
      </c>
      <c r="C6" s="86">
        <v>1</v>
      </c>
      <c r="D6" s="30" t="s">
        <v>157</v>
      </c>
      <c r="E6" s="87"/>
      <c r="F6" s="88" t="s">
        <v>158</v>
      </c>
      <c r="G6" s="125"/>
      <c r="H6" s="125"/>
    </row>
    <row r="7" spans="1:8" x14ac:dyDescent="0.35">
      <c r="A7" s="353" t="s">
        <v>764</v>
      </c>
      <c r="B7" s="527" t="s">
        <v>156</v>
      </c>
      <c r="C7" s="530">
        <f>C6+1</f>
        <v>2</v>
      </c>
      <c r="D7" s="454" t="s">
        <v>159</v>
      </c>
      <c r="E7" s="90">
        <v>1</v>
      </c>
      <c r="F7" s="22" t="s">
        <v>160</v>
      </c>
    </row>
    <row r="8" spans="1:8" x14ac:dyDescent="0.35">
      <c r="B8" s="528"/>
      <c r="C8" s="531"/>
      <c r="D8" s="533"/>
      <c r="E8" s="90">
        <v>2</v>
      </c>
      <c r="F8" s="22" t="s">
        <v>161</v>
      </c>
    </row>
    <row r="9" spans="1:8" x14ac:dyDescent="0.35">
      <c r="B9" s="528"/>
      <c r="C9" s="531"/>
      <c r="D9" s="533"/>
      <c r="E9" s="90">
        <v>3</v>
      </c>
      <c r="F9" s="22" t="s">
        <v>162</v>
      </c>
    </row>
    <row r="10" spans="1:8" x14ac:dyDescent="0.35">
      <c r="B10" s="528"/>
      <c r="C10" s="531"/>
      <c r="D10" s="533"/>
      <c r="E10" s="90">
        <v>4</v>
      </c>
      <c r="F10" s="22" t="s">
        <v>163</v>
      </c>
    </row>
    <row r="11" spans="1:8" x14ac:dyDescent="0.35">
      <c r="B11" s="528"/>
      <c r="C11" s="531"/>
      <c r="D11" s="533"/>
      <c r="E11" s="90">
        <v>5</v>
      </c>
      <c r="F11" s="22" t="s">
        <v>164</v>
      </c>
    </row>
    <row r="12" spans="1:8" x14ac:dyDescent="0.35">
      <c r="B12" s="528"/>
      <c r="C12" s="531"/>
      <c r="D12" s="533"/>
      <c r="E12" s="90">
        <v>6</v>
      </c>
      <c r="F12" s="22" t="s">
        <v>165</v>
      </c>
    </row>
    <row r="13" spans="1:8" ht="26" x14ac:dyDescent="0.35">
      <c r="B13" s="528"/>
      <c r="C13" s="531"/>
      <c r="D13" s="533"/>
      <c r="E13" s="90">
        <v>7</v>
      </c>
      <c r="F13" s="22" t="s">
        <v>166</v>
      </c>
    </row>
    <row r="14" spans="1:8" x14ac:dyDescent="0.35">
      <c r="B14" s="528"/>
      <c r="C14" s="531"/>
      <c r="D14" s="533"/>
      <c r="E14" s="90">
        <v>8</v>
      </c>
      <c r="F14" s="22" t="s">
        <v>167</v>
      </c>
    </row>
    <row r="15" spans="1:8" x14ac:dyDescent="0.35">
      <c r="B15" s="528"/>
      <c r="C15" s="531"/>
      <c r="D15" s="533"/>
      <c r="E15" s="90">
        <v>9</v>
      </c>
      <c r="F15" s="22" t="s">
        <v>168</v>
      </c>
    </row>
    <row r="16" spans="1:8" x14ac:dyDescent="0.35">
      <c r="B16" s="529"/>
      <c r="C16" s="532"/>
      <c r="D16" s="534"/>
      <c r="E16" s="91">
        <v>-99</v>
      </c>
      <c r="F16" s="92" t="s">
        <v>169</v>
      </c>
      <c r="G16" s="126"/>
      <c r="H16" s="124"/>
    </row>
    <row r="17" spans="1:8" x14ac:dyDescent="0.35">
      <c r="A17" s="353" t="s">
        <v>765</v>
      </c>
      <c r="B17" s="535" t="s">
        <v>156</v>
      </c>
      <c r="C17" s="459">
        <f>C7+1</f>
        <v>3</v>
      </c>
      <c r="D17" s="458" t="s">
        <v>170</v>
      </c>
      <c r="E17" s="90">
        <v>1</v>
      </c>
      <c r="F17" s="22" t="s">
        <v>171</v>
      </c>
    </row>
    <row r="18" spans="1:8" x14ac:dyDescent="0.35">
      <c r="B18" s="536"/>
      <c r="C18" s="538"/>
      <c r="D18" s="533"/>
      <c r="E18" s="90">
        <v>2</v>
      </c>
      <c r="F18" s="22" t="s">
        <v>172</v>
      </c>
    </row>
    <row r="19" spans="1:8" x14ac:dyDescent="0.35">
      <c r="B19" s="536"/>
      <c r="C19" s="538"/>
      <c r="D19" s="533"/>
      <c r="E19" s="90">
        <v>3</v>
      </c>
      <c r="F19" s="22" t="s">
        <v>173</v>
      </c>
    </row>
    <row r="20" spans="1:8" x14ac:dyDescent="0.35">
      <c r="B20" s="536"/>
      <c r="C20" s="538"/>
      <c r="D20" s="533"/>
      <c r="E20" s="90">
        <v>4</v>
      </c>
      <c r="F20" s="22" t="s">
        <v>174</v>
      </c>
    </row>
    <row r="21" spans="1:8" x14ac:dyDescent="0.35">
      <c r="B21" s="536"/>
      <c r="C21" s="538"/>
      <c r="D21" s="533"/>
      <c r="E21" s="90">
        <v>5</v>
      </c>
      <c r="F21" s="22" t="s">
        <v>175</v>
      </c>
    </row>
    <row r="22" spans="1:8" x14ac:dyDescent="0.35">
      <c r="B22" s="536"/>
      <c r="C22" s="538"/>
      <c r="D22" s="533"/>
      <c r="E22" s="90">
        <v>6</v>
      </c>
      <c r="F22" s="22" t="s">
        <v>176</v>
      </c>
    </row>
    <row r="23" spans="1:8" x14ac:dyDescent="0.35">
      <c r="B23" s="536"/>
      <c r="C23" s="538"/>
      <c r="D23" s="533"/>
      <c r="E23" s="90">
        <v>7</v>
      </c>
      <c r="F23" s="22" t="s">
        <v>955</v>
      </c>
    </row>
    <row r="24" spans="1:8" x14ac:dyDescent="0.35">
      <c r="B24" s="536"/>
      <c r="C24" s="538"/>
      <c r="D24" s="533"/>
      <c r="E24" s="93">
        <v>-66</v>
      </c>
      <c r="F24" s="94" t="s">
        <v>177</v>
      </c>
    </row>
    <row r="25" spans="1:8" x14ac:dyDescent="0.35">
      <c r="B25" s="537"/>
      <c r="C25" s="539"/>
      <c r="D25" s="534"/>
      <c r="E25" s="91">
        <v>99</v>
      </c>
      <c r="F25" s="58" t="s">
        <v>169</v>
      </c>
      <c r="G25" s="126"/>
      <c r="H25" s="124"/>
    </row>
    <row r="26" spans="1:8" x14ac:dyDescent="0.35">
      <c r="A26" s="353" t="s">
        <v>766</v>
      </c>
      <c r="B26" s="535" t="s">
        <v>156</v>
      </c>
      <c r="C26" s="459">
        <f>C17+1</f>
        <v>4</v>
      </c>
      <c r="D26" s="458" t="s">
        <v>178</v>
      </c>
      <c r="E26" s="90">
        <v>1</v>
      </c>
      <c r="F26" s="20" t="s">
        <v>179</v>
      </c>
    </row>
    <row r="27" spans="1:8" x14ac:dyDescent="0.35">
      <c r="B27" s="528"/>
      <c r="C27" s="531"/>
      <c r="D27" s="533"/>
      <c r="E27" s="90">
        <v>2</v>
      </c>
      <c r="F27" s="22" t="s">
        <v>180</v>
      </c>
    </row>
    <row r="28" spans="1:8" x14ac:dyDescent="0.35">
      <c r="B28" s="528"/>
      <c r="C28" s="531"/>
      <c r="D28" s="533"/>
      <c r="E28" s="90">
        <v>3</v>
      </c>
      <c r="F28" s="22" t="s">
        <v>181</v>
      </c>
    </row>
    <row r="29" spans="1:8" x14ac:dyDescent="0.35">
      <c r="B29" s="528"/>
      <c r="C29" s="531"/>
      <c r="D29" s="533"/>
      <c r="E29" s="90">
        <v>4</v>
      </c>
      <c r="F29" s="22" t="s">
        <v>174</v>
      </c>
    </row>
    <row r="30" spans="1:8" x14ac:dyDescent="0.35">
      <c r="B30" s="528"/>
      <c r="C30" s="531"/>
      <c r="D30" s="533"/>
      <c r="E30" s="90">
        <v>5</v>
      </c>
      <c r="F30" s="22" t="s">
        <v>182</v>
      </c>
    </row>
    <row r="31" spans="1:8" x14ac:dyDescent="0.35">
      <c r="B31" s="528"/>
      <c r="C31" s="531"/>
      <c r="D31" s="533"/>
      <c r="E31" s="90">
        <v>6</v>
      </c>
      <c r="F31" s="22" t="s">
        <v>183</v>
      </c>
    </row>
    <row r="32" spans="1:8" x14ac:dyDescent="0.35">
      <c r="B32" s="528"/>
      <c r="C32" s="531"/>
      <c r="D32" s="533"/>
      <c r="E32" s="90">
        <v>7</v>
      </c>
      <c r="F32" s="22" t="s">
        <v>184</v>
      </c>
    </row>
    <row r="33" spans="1:8" x14ac:dyDescent="0.35">
      <c r="B33" s="528"/>
      <c r="C33" s="531"/>
      <c r="D33" s="533"/>
      <c r="E33" s="90">
        <v>8</v>
      </c>
      <c r="F33" s="22" t="s">
        <v>185</v>
      </c>
    </row>
    <row r="34" spans="1:8" x14ac:dyDescent="0.35">
      <c r="B34" s="528"/>
      <c r="C34" s="531"/>
      <c r="D34" s="533"/>
      <c r="E34" s="93">
        <v>9</v>
      </c>
      <c r="F34" s="22" t="s">
        <v>186</v>
      </c>
    </row>
    <row r="35" spans="1:8" x14ac:dyDescent="0.35">
      <c r="B35" s="528"/>
      <c r="C35" s="531"/>
      <c r="D35" s="533"/>
      <c r="E35" s="90">
        <v>-66</v>
      </c>
      <c r="F35" s="94" t="s">
        <v>177</v>
      </c>
    </row>
    <row r="36" spans="1:8" x14ac:dyDescent="0.35">
      <c r="B36" s="529"/>
      <c r="C36" s="532"/>
      <c r="D36" s="534"/>
      <c r="E36" s="58">
        <v>-99</v>
      </c>
      <c r="F36" s="58" t="s">
        <v>169</v>
      </c>
      <c r="G36" s="126"/>
      <c r="H36" s="124"/>
    </row>
    <row r="37" spans="1:8" x14ac:dyDescent="0.35">
      <c r="A37" s="353" t="s">
        <v>767</v>
      </c>
      <c r="B37" s="546" t="s">
        <v>156</v>
      </c>
      <c r="C37" s="487">
        <f>C26+1</f>
        <v>5</v>
      </c>
      <c r="D37" s="458" t="s">
        <v>187</v>
      </c>
      <c r="E37" s="95">
        <v>1</v>
      </c>
      <c r="F37" s="96" t="s">
        <v>188</v>
      </c>
    </row>
    <row r="38" spans="1:8" x14ac:dyDescent="0.35">
      <c r="B38" s="528"/>
      <c r="C38" s="531"/>
      <c r="D38" s="533"/>
      <c r="E38" s="90">
        <v>2</v>
      </c>
      <c r="F38" s="97" t="s">
        <v>189</v>
      </c>
    </row>
    <row r="39" spans="1:8" x14ac:dyDescent="0.35">
      <c r="B39" s="528"/>
      <c r="C39" s="531"/>
      <c r="D39" s="533"/>
      <c r="E39" s="90">
        <v>3</v>
      </c>
      <c r="F39" s="97" t="s">
        <v>190</v>
      </c>
    </row>
    <row r="40" spans="1:8" x14ac:dyDescent="0.35">
      <c r="B40" s="528"/>
      <c r="C40" s="531"/>
      <c r="D40" s="533"/>
      <c r="E40" s="90">
        <v>4</v>
      </c>
      <c r="F40" s="97" t="s">
        <v>191</v>
      </c>
    </row>
    <row r="41" spans="1:8" x14ac:dyDescent="0.35">
      <c r="B41" s="528"/>
      <c r="C41" s="531"/>
      <c r="D41" s="533"/>
      <c r="E41" s="90">
        <v>5</v>
      </c>
      <c r="F41" s="97" t="s">
        <v>192</v>
      </c>
    </row>
    <row r="42" spans="1:8" x14ac:dyDescent="0.35">
      <c r="B42" s="528"/>
      <c r="C42" s="531"/>
      <c r="D42" s="533"/>
      <c r="E42" s="90">
        <v>6</v>
      </c>
      <c r="F42" s="97" t="s">
        <v>193</v>
      </c>
    </row>
    <row r="43" spans="1:8" x14ac:dyDescent="0.35">
      <c r="B43" s="528"/>
      <c r="C43" s="531"/>
      <c r="D43" s="533"/>
      <c r="E43" s="93">
        <v>-66</v>
      </c>
      <c r="F43" s="94" t="s">
        <v>177</v>
      </c>
    </row>
    <row r="44" spans="1:8" ht="21" customHeight="1" x14ac:dyDescent="0.35">
      <c r="B44" s="529"/>
      <c r="C44" s="532"/>
      <c r="D44" s="534"/>
      <c r="E44" s="91">
        <v>-99</v>
      </c>
      <c r="F44" s="92" t="s">
        <v>169</v>
      </c>
      <c r="G44" s="124"/>
      <c r="H44" s="124"/>
    </row>
    <row r="45" spans="1:8" x14ac:dyDescent="0.35">
      <c r="A45" s="353" t="s">
        <v>768</v>
      </c>
      <c r="B45" s="546" t="s">
        <v>156</v>
      </c>
      <c r="C45" s="487">
        <f>C37+1</f>
        <v>6</v>
      </c>
      <c r="D45" s="458" t="s">
        <v>194</v>
      </c>
      <c r="E45" s="90">
        <v>1</v>
      </c>
      <c r="F45" s="97" t="s">
        <v>195</v>
      </c>
    </row>
    <row r="46" spans="1:8" x14ac:dyDescent="0.35">
      <c r="B46" s="528"/>
      <c r="C46" s="531"/>
      <c r="D46" s="533"/>
      <c r="E46" s="90">
        <f>E45+1</f>
        <v>2</v>
      </c>
      <c r="F46" s="97" t="s">
        <v>196</v>
      </c>
    </row>
    <row r="47" spans="1:8" x14ac:dyDescent="0.35">
      <c r="B47" s="528"/>
      <c r="C47" s="531"/>
      <c r="D47" s="533"/>
      <c r="E47" s="90">
        <f t="shared" ref="E47:E53" si="0">E46+1</f>
        <v>3</v>
      </c>
      <c r="F47" s="97" t="s">
        <v>197</v>
      </c>
    </row>
    <row r="48" spans="1:8" x14ac:dyDescent="0.35">
      <c r="B48" s="528"/>
      <c r="C48" s="531"/>
      <c r="D48" s="533"/>
      <c r="E48" s="90">
        <f t="shared" si="0"/>
        <v>4</v>
      </c>
      <c r="F48" s="97" t="s">
        <v>198</v>
      </c>
    </row>
    <row r="49" spans="1:8" x14ac:dyDescent="0.35">
      <c r="B49" s="528"/>
      <c r="C49" s="531"/>
      <c r="D49" s="533"/>
      <c r="E49" s="90">
        <f t="shared" si="0"/>
        <v>5</v>
      </c>
      <c r="F49" s="97" t="s">
        <v>199</v>
      </c>
    </row>
    <row r="50" spans="1:8" x14ac:dyDescent="0.35">
      <c r="B50" s="528"/>
      <c r="C50" s="531"/>
      <c r="D50" s="533"/>
      <c r="E50" s="90">
        <f t="shared" si="0"/>
        <v>6</v>
      </c>
      <c r="F50" s="97" t="s">
        <v>200</v>
      </c>
    </row>
    <row r="51" spans="1:8" x14ac:dyDescent="0.35">
      <c r="B51" s="528"/>
      <c r="C51" s="531"/>
      <c r="D51" s="533"/>
      <c r="E51" s="90">
        <f t="shared" si="0"/>
        <v>7</v>
      </c>
      <c r="F51" s="97" t="s">
        <v>201</v>
      </c>
    </row>
    <row r="52" spans="1:8" x14ac:dyDescent="0.35">
      <c r="B52" s="528"/>
      <c r="C52" s="531"/>
      <c r="D52" s="533"/>
      <c r="E52" s="90">
        <f t="shared" si="0"/>
        <v>8</v>
      </c>
      <c r="F52" s="97" t="s">
        <v>202</v>
      </c>
    </row>
    <row r="53" spans="1:8" x14ac:dyDescent="0.35">
      <c r="B53" s="528"/>
      <c r="C53" s="531"/>
      <c r="D53" s="533"/>
      <c r="E53" s="90">
        <f t="shared" si="0"/>
        <v>9</v>
      </c>
      <c r="F53" s="97" t="s">
        <v>203</v>
      </c>
    </row>
    <row r="54" spans="1:8" x14ac:dyDescent="0.35">
      <c r="B54" s="528"/>
      <c r="C54" s="531"/>
      <c r="D54" s="533"/>
      <c r="E54" s="90">
        <v>-66</v>
      </c>
      <c r="F54" s="94" t="s">
        <v>177</v>
      </c>
    </row>
    <row r="55" spans="1:8" x14ac:dyDescent="0.35">
      <c r="B55" s="528"/>
      <c r="C55" s="531"/>
      <c r="D55" s="533"/>
      <c r="E55" s="90">
        <v>-99</v>
      </c>
      <c r="F55" s="94" t="s">
        <v>169</v>
      </c>
      <c r="G55" s="124"/>
      <c r="H55" s="124"/>
    </row>
    <row r="56" spans="1:8" x14ac:dyDescent="0.35">
      <c r="A56" s="353" t="s">
        <v>769</v>
      </c>
      <c r="B56" s="546" t="s">
        <v>156</v>
      </c>
      <c r="C56" s="487">
        <f>C45+1</f>
        <v>7</v>
      </c>
      <c r="D56" s="458" t="s">
        <v>204</v>
      </c>
      <c r="E56" s="98">
        <v>1</v>
      </c>
      <c r="F56" s="96" t="s">
        <v>205</v>
      </c>
    </row>
    <row r="57" spans="1:8" x14ac:dyDescent="0.35">
      <c r="B57" s="547"/>
      <c r="C57" s="548"/>
      <c r="D57" s="533"/>
      <c r="E57" s="90">
        <f t="shared" ref="E57:E62" si="1">E56+1</f>
        <v>2</v>
      </c>
      <c r="F57" s="97" t="s">
        <v>956</v>
      </c>
    </row>
    <row r="58" spans="1:8" x14ac:dyDescent="0.35">
      <c r="B58" s="547"/>
      <c r="C58" s="548"/>
      <c r="D58" s="533"/>
      <c r="E58" s="90">
        <f t="shared" si="1"/>
        <v>3</v>
      </c>
      <c r="F58" s="97" t="s">
        <v>206</v>
      </c>
    </row>
    <row r="59" spans="1:8" x14ac:dyDescent="0.35">
      <c r="B59" s="547"/>
      <c r="C59" s="548"/>
      <c r="D59" s="533"/>
      <c r="E59" s="90">
        <f t="shared" si="1"/>
        <v>4</v>
      </c>
      <c r="F59" s="97" t="s">
        <v>207</v>
      </c>
    </row>
    <row r="60" spans="1:8" x14ac:dyDescent="0.35">
      <c r="B60" s="547"/>
      <c r="C60" s="548"/>
      <c r="D60" s="533"/>
      <c r="E60" s="90">
        <f t="shared" si="1"/>
        <v>5</v>
      </c>
      <c r="F60" s="94" t="s">
        <v>208</v>
      </c>
    </row>
    <row r="61" spans="1:8" x14ac:dyDescent="0.35">
      <c r="B61" s="547"/>
      <c r="C61" s="548"/>
      <c r="D61" s="533"/>
      <c r="E61" s="90">
        <f t="shared" si="1"/>
        <v>6</v>
      </c>
      <c r="F61" s="94" t="s">
        <v>209</v>
      </c>
    </row>
    <row r="62" spans="1:8" x14ac:dyDescent="0.35">
      <c r="B62" s="547"/>
      <c r="C62" s="548"/>
      <c r="D62" s="533"/>
      <c r="E62" s="90">
        <f t="shared" si="1"/>
        <v>7</v>
      </c>
      <c r="F62" s="97" t="s">
        <v>210</v>
      </c>
      <c r="G62" s="190" t="s">
        <v>211</v>
      </c>
      <c r="H62" s="363" t="s">
        <v>840</v>
      </c>
    </row>
    <row r="63" spans="1:8" ht="14.5" x14ac:dyDescent="0.35">
      <c r="B63" s="99"/>
      <c r="C63" s="100"/>
      <c r="D63" s="101"/>
      <c r="E63" s="102">
        <v>-66</v>
      </c>
      <c r="F63" s="92" t="s">
        <v>177</v>
      </c>
    </row>
    <row r="64" spans="1:8" x14ac:dyDescent="0.35">
      <c r="A64" s="353" t="s">
        <v>770</v>
      </c>
      <c r="B64" s="342" t="s">
        <v>212</v>
      </c>
      <c r="C64" s="17">
        <f>C56+1</f>
        <v>8</v>
      </c>
      <c r="D64" s="458" t="s">
        <v>213</v>
      </c>
      <c r="E64" s="98">
        <v>1</v>
      </c>
      <c r="F64" s="103" t="s">
        <v>29</v>
      </c>
    </row>
    <row r="65" spans="1:8" x14ac:dyDescent="0.35">
      <c r="B65" s="343"/>
      <c r="C65" s="19"/>
      <c r="D65" s="461"/>
      <c r="E65" s="102">
        <v>2</v>
      </c>
      <c r="F65" s="92" t="s">
        <v>26</v>
      </c>
    </row>
    <row r="66" spans="1:8" x14ac:dyDescent="0.35">
      <c r="A66" s="353" t="s">
        <v>771</v>
      </c>
      <c r="B66" s="546" t="s">
        <v>156</v>
      </c>
      <c r="C66" s="487">
        <f>C64+1</f>
        <v>9</v>
      </c>
      <c r="D66" s="458" t="s">
        <v>214</v>
      </c>
      <c r="E66" s="95">
        <v>1</v>
      </c>
      <c r="F66" s="103" t="s">
        <v>215</v>
      </c>
      <c r="G66" s="190" t="s">
        <v>211</v>
      </c>
      <c r="H66" s="90" t="s">
        <v>841</v>
      </c>
    </row>
    <row r="67" spans="1:8" x14ac:dyDescent="0.35">
      <c r="B67" s="527"/>
      <c r="C67" s="530"/>
      <c r="D67" s="454"/>
      <c r="E67" s="93">
        <f>E66+1</f>
        <v>2</v>
      </c>
      <c r="F67" s="94" t="s">
        <v>216</v>
      </c>
      <c r="G67" s="366"/>
      <c r="H67" s="90"/>
    </row>
    <row r="68" spans="1:8" x14ac:dyDescent="0.35">
      <c r="B68" s="528"/>
      <c r="C68" s="531"/>
      <c r="D68" s="549"/>
      <c r="E68" s="93">
        <f t="shared" ref="E68:E75" si="2">E67+1</f>
        <v>3</v>
      </c>
      <c r="F68" s="97" t="s">
        <v>217</v>
      </c>
      <c r="G68" s="58"/>
      <c r="H68" s="58"/>
    </row>
    <row r="69" spans="1:8" x14ac:dyDescent="0.35">
      <c r="B69" s="528"/>
      <c r="C69" s="531"/>
      <c r="D69" s="549"/>
      <c r="E69" s="93">
        <f t="shared" si="2"/>
        <v>4</v>
      </c>
      <c r="F69" s="97" t="s">
        <v>218</v>
      </c>
      <c r="G69" s="58"/>
      <c r="H69" s="58"/>
    </row>
    <row r="70" spans="1:8" x14ac:dyDescent="0.35">
      <c r="B70" s="528"/>
      <c r="C70" s="531"/>
      <c r="D70" s="549"/>
      <c r="E70" s="93">
        <f t="shared" si="2"/>
        <v>5</v>
      </c>
      <c r="F70" s="97" t="s">
        <v>219</v>
      </c>
      <c r="G70" s="58"/>
      <c r="H70" s="58"/>
    </row>
    <row r="71" spans="1:8" x14ac:dyDescent="0.35">
      <c r="B71" s="528"/>
      <c r="C71" s="531"/>
      <c r="D71" s="549"/>
      <c r="E71" s="93">
        <f t="shared" si="2"/>
        <v>6</v>
      </c>
      <c r="F71" s="97" t="s">
        <v>220</v>
      </c>
      <c r="G71" s="58"/>
      <c r="H71" s="58"/>
    </row>
    <row r="72" spans="1:8" x14ac:dyDescent="0.35">
      <c r="B72" s="528"/>
      <c r="C72" s="531"/>
      <c r="D72" s="549"/>
      <c r="E72" s="93">
        <f t="shared" si="2"/>
        <v>7</v>
      </c>
      <c r="F72" s="97" t="s">
        <v>221</v>
      </c>
      <c r="G72" s="58"/>
      <c r="H72" s="58"/>
    </row>
    <row r="73" spans="1:8" x14ac:dyDescent="0.35">
      <c r="B73" s="528"/>
      <c r="C73" s="531"/>
      <c r="D73" s="549"/>
      <c r="E73" s="93">
        <f t="shared" si="2"/>
        <v>8</v>
      </c>
      <c r="F73" s="97" t="s">
        <v>222</v>
      </c>
      <c r="G73" s="58"/>
      <c r="H73" s="58"/>
    </row>
    <row r="74" spans="1:8" x14ac:dyDescent="0.35">
      <c r="B74" s="528"/>
      <c r="C74" s="531"/>
      <c r="D74" s="549"/>
      <c r="E74" s="93">
        <f t="shared" si="2"/>
        <v>9</v>
      </c>
      <c r="F74" s="97" t="s">
        <v>223</v>
      </c>
      <c r="G74" s="58"/>
      <c r="H74" s="58"/>
    </row>
    <row r="75" spans="1:8" x14ac:dyDescent="0.35">
      <c r="B75" s="528"/>
      <c r="C75" s="531"/>
      <c r="D75" s="549"/>
      <c r="E75" s="93">
        <f t="shared" si="2"/>
        <v>10</v>
      </c>
      <c r="F75" s="97" t="s">
        <v>224</v>
      </c>
      <c r="G75" s="190" t="s">
        <v>211</v>
      </c>
      <c r="H75" s="90" t="s">
        <v>841</v>
      </c>
    </row>
    <row r="76" spans="1:8" x14ac:dyDescent="0.35">
      <c r="B76" s="529"/>
      <c r="C76" s="532"/>
      <c r="D76" s="550"/>
      <c r="E76" s="91">
        <v>-66</v>
      </c>
      <c r="F76" s="92" t="s">
        <v>177</v>
      </c>
      <c r="G76" s="124"/>
      <c r="H76" s="124"/>
    </row>
    <row r="77" spans="1:8" ht="12.75" customHeight="1" x14ac:dyDescent="0.35">
      <c r="A77" s="353" t="s">
        <v>772</v>
      </c>
      <c r="B77" s="105" t="s">
        <v>156</v>
      </c>
      <c r="C77" s="14">
        <f>C66+1</f>
        <v>10</v>
      </c>
      <c r="D77" s="458" t="s">
        <v>225</v>
      </c>
      <c r="E77" s="540" t="s">
        <v>226</v>
      </c>
      <c r="F77" s="541"/>
      <c r="G77" s="125"/>
      <c r="H77" s="125"/>
    </row>
    <row r="78" spans="1:8" x14ac:dyDescent="0.35">
      <c r="A78" s="353" t="s">
        <v>773</v>
      </c>
      <c r="B78" s="95"/>
      <c r="C78" s="364"/>
      <c r="D78" s="454"/>
      <c r="E78" s="542"/>
      <c r="F78" s="543"/>
    </row>
    <row r="79" spans="1:8" ht="20" x14ac:dyDescent="0.35">
      <c r="A79" s="353" t="s">
        <v>774</v>
      </c>
      <c r="B79" s="91"/>
      <c r="C79" s="365"/>
      <c r="D79" s="461"/>
      <c r="E79" s="544"/>
      <c r="F79" s="545"/>
      <c r="G79" s="127"/>
      <c r="H79" s="128"/>
    </row>
    <row r="80" spans="1:8" x14ac:dyDescent="0.35">
      <c r="A80" s="353" t="s">
        <v>775</v>
      </c>
      <c r="B80" s="546" t="s">
        <v>156</v>
      </c>
      <c r="C80" s="487">
        <f>C77+1</f>
        <v>11</v>
      </c>
      <c r="D80" s="552" t="s">
        <v>227</v>
      </c>
      <c r="E80" s="90">
        <v>1</v>
      </c>
      <c r="F80" s="94" t="s">
        <v>29</v>
      </c>
      <c r="G80" s="127"/>
      <c r="H80" s="128"/>
    </row>
    <row r="81" spans="1:8" ht="71.25" customHeight="1" x14ac:dyDescent="0.35">
      <c r="A81" s="353"/>
      <c r="B81" s="551"/>
      <c r="C81" s="489"/>
      <c r="D81" s="553"/>
      <c r="E81" s="102">
        <v>2</v>
      </c>
      <c r="F81" s="92" t="s">
        <v>26</v>
      </c>
      <c r="G81" s="127"/>
      <c r="H81" s="128"/>
    </row>
    <row r="82" spans="1:8" ht="54.75" customHeight="1" x14ac:dyDescent="0.35">
      <c r="B82" s="562" t="s">
        <v>228</v>
      </c>
      <c r="C82" s="563"/>
      <c r="D82" s="564"/>
      <c r="E82" s="106" t="s">
        <v>229</v>
      </c>
      <c r="F82" s="107" t="s">
        <v>230</v>
      </c>
      <c r="G82" s="129"/>
      <c r="H82" s="130"/>
    </row>
    <row r="83" spans="1:8" ht="22.5" customHeight="1" x14ac:dyDescent="0.35">
      <c r="A83" s="353" t="s">
        <v>776</v>
      </c>
      <c r="B83" s="108" t="s">
        <v>156</v>
      </c>
      <c r="C83" s="14">
        <v>12</v>
      </c>
      <c r="D83" s="109" t="s">
        <v>231</v>
      </c>
      <c r="E83" s="110"/>
      <c r="F83" s="111"/>
      <c r="G83" s="127"/>
    </row>
    <row r="84" spans="1:8" ht="21.75" customHeight="1" x14ac:dyDescent="0.35">
      <c r="A84" s="359" t="s">
        <v>777</v>
      </c>
      <c r="B84" s="108" t="s">
        <v>156</v>
      </c>
      <c r="C84" s="14">
        <f>C83+1</f>
        <v>13</v>
      </c>
      <c r="D84" s="109" t="s">
        <v>232</v>
      </c>
      <c r="E84" s="110"/>
      <c r="F84" s="111"/>
      <c r="G84" s="127"/>
    </row>
    <row r="85" spans="1:8" ht="24" customHeight="1" x14ac:dyDescent="0.35">
      <c r="A85" s="359" t="s">
        <v>778</v>
      </c>
      <c r="B85" s="112" t="s">
        <v>156</v>
      </c>
      <c r="C85" s="14">
        <f>C84+1</f>
        <v>14</v>
      </c>
      <c r="D85" s="109" t="s">
        <v>233</v>
      </c>
      <c r="E85" s="110"/>
      <c r="F85" s="111"/>
      <c r="G85" s="131"/>
      <c r="H85" s="124"/>
    </row>
    <row r="86" spans="1:8" ht="51" customHeight="1" x14ac:dyDescent="0.35">
      <c r="A86" s="359" t="s">
        <v>779</v>
      </c>
      <c r="B86" s="115" t="s">
        <v>156</v>
      </c>
      <c r="C86" s="17">
        <f>C85+1</f>
        <v>15</v>
      </c>
      <c r="D86" s="379" t="s">
        <v>234</v>
      </c>
      <c r="E86" s="380"/>
      <c r="F86" s="381"/>
    </row>
    <row r="87" spans="1:8" ht="30.75" customHeight="1" x14ac:dyDescent="0.35">
      <c r="B87" s="554" t="s">
        <v>235</v>
      </c>
      <c r="C87" s="555"/>
      <c r="D87" s="555"/>
      <c r="E87" s="555"/>
      <c r="F87" s="555"/>
      <c r="G87" s="555"/>
      <c r="H87" s="556"/>
    </row>
    <row r="88" spans="1:8" ht="13" customHeight="1" x14ac:dyDescent="0.35">
      <c r="B88" s="557"/>
      <c r="C88" s="558"/>
      <c r="D88" s="558"/>
      <c r="E88" s="558"/>
      <c r="F88" s="558"/>
      <c r="G88" s="558"/>
      <c r="H88" s="559"/>
    </row>
    <row r="89" spans="1:8" ht="131.25" customHeight="1" x14ac:dyDescent="0.35">
      <c r="A89" s="362"/>
      <c r="B89" s="465" t="s">
        <v>957</v>
      </c>
      <c r="C89" s="565"/>
      <c r="D89" s="565"/>
      <c r="E89" s="565"/>
      <c r="F89" s="466"/>
      <c r="G89" s="132"/>
      <c r="H89" s="132"/>
    </row>
    <row r="90" spans="1:8" ht="41.25" customHeight="1" x14ac:dyDescent="0.35">
      <c r="A90" s="353" t="s">
        <v>780</v>
      </c>
      <c r="B90" s="465" t="s">
        <v>236</v>
      </c>
      <c r="C90" s="565"/>
      <c r="D90" s="466"/>
      <c r="E90" s="465" t="s">
        <v>237</v>
      </c>
      <c r="F90" s="466"/>
      <c r="G90" s="132"/>
      <c r="H90" s="132"/>
    </row>
    <row r="91" spans="1:8" ht="15" customHeight="1" x14ac:dyDescent="0.35">
      <c r="A91" s="353" t="s">
        <v>781</v>
      </c>
      <c r="B91" s="114" t="s">
        <v>156</v>
      </c>
      <c r="C91" s="86">
        <v>16</v>
      </c>
      <c r="D91" s="4" t="s">
        <v>238</v>
      </c>
      <c r="E91" s="560" t="s">
        <v>239</v>
      </c>
      <c r="F91" s="561"/>
      <c r="G91" s="133"/>
      <c r="H91" s="133"/>
    </row>
    <row r="92" spans="1:8" ht="12.75" customHeight="1" x14ac:dyDescent="0.35">
      <c r="A92" s="353" t="s">
        <v>782</v>
      </c>
      <c r="B92" s="114" t="s">
        <v>156</v>
      </c>
      <c r="C92" s="86">
        <f t="shared" ref="C92:C101" si="3">C91+1</f>
        <v>17</v>
      </c>
      <c r="D92" s="4" t="s">
        <v>240</v>
      </c>
      <c r="E92" s="560" t="s">
        <v>239</v>
      </c>
      <c r="F92" s="561"/>
      <c r="G92" s="133"/>
      <c r="H92" s="133"/>
    </row>
    <row r="93" spans="1:8" ht="12.75" customHeight="1" x14ac:dyDescent="0.35">
      <c r="A93" s="353" t="s">
        <v>783</v>
      </c>
      <c r="B93" s="114" t="s">
        <v>156</v>
      </c>
      <c r="C93" s="86">
        <f t="shared" si="3"/>
        <v>18</v>
      </c>
      <c r="D93" s="4" t="s">
        <v>241</v>
      </c>
      <c r="E93" s="560" t="s">
        <v>239</v>
      </c>
      <c r="F93" s="561"/>
      <c r="G93" s="133"/>
      <c r="H93" s="133"/>
    </row>
    <row r="94" spans="1:8" ht="30" customHeight="1" x14ac:dyDescent="0.35">
      <c r="A94" s="353" t="s">
        <v>784</v>
      </c>
      <c r="B94" s="114" t="s">
        <v>156</v>
      </c>
      <c r="C94" s="86">
        <f t="shared" si="3"/>
        <v>19</v>
      </c>
      <c r="D94" s="4" t="s">
        <v>242</v>
      </c>
      <c r="E94" s="560" t="s">
        <v>239</v>
      </c>
      <c r="F94" s="561"/>
      <c r="G94" s="133"/>
      <c r="H94" s="133"/>
    </row>
    <row r="95" spans="1:8" ht="12.75" customHeight="1" x14ac:dyDescent="0.35">
      <c r="A95" s="353" t="s">
        <v>785</v>
      </c>
      <c r="B95" s="114" t="s">
        <v>156</v>
      </c>
      <c r="C95" s="86">
        <f t="shared" si="3"/>
        <v>20</v>
      </c>
      <c r="D95" s="4" t="s">
        <v>243</v>
      </c>
      <c r="E95" s="560" t="s">
        <v>239</v>
      </c>
      <c r="F95" s="561"/>
      <c r="G95" s="133"/>
      <c r="H95" s="133"/>
    </row>
    <row r="96" spans="1:8" ht="12.75" customHeight="1" x14ac:dyDescent="0.35">
      <c r="A96" s="353" t="s">
        <v>786</v>
      </c>
      <c r="B96" s="114" t="s">
        <v>156</v>
      </c>
      <c r="C96" s="86">
        <f t="shared" si="3"/>
        <v>21</v>
      </c>
      <c r="D96" s="4" t="s">
        <v>244</v>
      </c>
      <c r="E96" s="560" t="s">
        <v>239</v>
      </c>
      <c r="F96" s="561"/>
      <c r="G96" s="133"/>
      <c r="H96" s="133"/>
    </row>
    <row r="97" spans="1:8" ht="12.75" customHeight="1" x14ac:dyDescent="0.35">
      <c r="A97" s="353" t="s">
        <v>787</v>
      </c>
      <c r="B97" s="114" t="s">
        <v>156</v>
      </c>
      <c r="C97" s="86">
        <f t="shared" si="3"/>
        <v>22</v>
      </c>
      <c r="D97" s="4" t="s">
        <v>245</v>
      </c>
      <c r="E97" s="560" t="s">
        <v>239</v>
      </c>
      <c r="F97" s="561"/>
      <c r="G97" s="133"/>
      <c r="H97" s="133"/>
    </row>
    <row r="98" spans="1:8" ht="12.75" customHeight="1" x14ac:dyDescent="0.35">
      <c r="A98" s="353" t="s">
        <v>788</v>
      </c>
      <c r="B98" s="114" t="s">
        <v>156</v>
      </c>
      <c r="C98" s="86">
        <f t="shared" si="3"/>
        <v>23</v>
      </c>
      <c r="D98" s="4" t="s">
        <v>246</v>
      </c>
      <c r="E98" s="560" t="s">
        <v>239</v>
      </c>
      <c r="F98" s="561"/>
      <c r="G98" s="133"/>
      <c r="H98" s="133"/>
    </row>
    <row r="99" spans="1:8" ht="12.75" customHeight="1" x14ac:dyDescent="0.35">
      <c r="A99" s="353" t="s">
        <v>789</v>
      </c>
      <c r="B99" s="114" t="s">
        <v>156</v>
      </c>
      <c r="C99" s="86">
        <f t="shared" si="3"/>
        <v>24</v>
      </c>
      <c r="D99" s="4" t="s">
        <v>247</v>
      </c>
      <c r="E99" s="560" t="s">
        <v>239</v>
      </c>
      <c r="F99" s="561"/>
      <c r="G99" s="133"/>
      <c r="H99" s="133"/>
    </row>
    <row r="100" spans="1:8" ht="12.75" customHeight="1" x14ac:dyDescent="0.35">
      <c r="A100" s="353" t="s">
        <v>790</v>
      </c>
      <c r="B100" s="114" t="s">
        <v>156</v>
      </c>
      <c r="C100" s="86">
        <f t="shared" si="3"/>
        <v>25</v>
      </c>
      <c r="D100" s="4" t="s">
        <v>248</v>
      </c>
      <c r="E100" s="560" t="s">
        <v>239</v>
      </c>
      <c r="F100" s="561"/>
      <c r="G100" s="133"/>
      <c r="H100" s="133"/>
    </row>
    <row r="101" spans="1:8" ht="25.5" customHeight="1" x14ac:dyDescent="0.35">
      <c r="A101" s="353" t="s">
        <v>791</v>
      </c>
      <c r="B101" s="114" t="s">
        <v>156</v>
      </c>
      <c r="C101" s="86">
        <f t="shared" si="3"/>
        <v>26</v>
      </c>
      <c r="D101" s="4" t="s">
        <v>249</v>
      </c>
      <c r="E101" s="560" t="s">
        <v>239</v>
      </c>
      <c r="F101" s="561"/>
      <c r="G101" s="133"/>
      <c r="H101" s="133"/>
    </row>
    <row r="102" spans="1:8" x14ac:dyDescent="0.35">
      <c r="B102" s="115"/>
      <c r="C102" s="116"/>
      <c r="D102" s="117"/>
      <c r="E102" s="29"/>
      <c r="F102" s="18"/>
      <c r="G102" s="134"/>
      <c r="H102" s="134"/>
    </row>
    <row r="103" spans="1:8" x14ac:dyDescent="0.35">
      <c r="A103" s="353" t="s">
        <v>792</v>
      </c>
      <c r="B103" s="118" t="s">
        <v>156</v>
      </c>
      <c r="C103" s="31">
        <f>C101+1</f>
        <v>27</v>
      </c>
      <c r="D103" s="458" t="s">
        <v>250</v>
      </c>
      <c r="E103" s="7">
        <v>1</v>
      </c>
      <c r="F103" s="20" t="s">
        <v>29</v>
      </c>
    </row>
    <row r="104" spans="1:8" x14ac:dyDescent="0.35">
      <c r="B104" s="119"/>
      <c r="C104" s="32"/>
      <c r="D104" s="454"/>
      <c r="E104" s="21">
        <v>2</v>
      </c>
      <c r="F104" s="22" t="s">
        <v>26</v>
      </c>
    </row>
    <row r="105" spans="1:8" x14ac:dyDescent="0.35">
      <c r="B105" s="115"/>
      <c r="C105" s="97"/>
      <c r="D105" s="454"/>
      <c r="E105" s="21">
        <v>-88</v>
      </c>
      <c r="F105" s="22" t="s">
        <v>103</v>
      </c>
    </row>
    <row r="106" spans="1:8" ht="39" customHeight="1" x14ac:dyDescent="0.35">
      <c r="B106" s="112"/>
      <c r="C106" s="120"/>
      <c r="D106" s="461"/>
      <c r="E106" s="10">
        <v>-99</v>
      </c>
      <c r="F106" s="2" t="s">
        <v>104</v>
      </c>
    </row>
    <row r="107" spans="1:8" ht="12.75" customHeight="1" x14ac:dyDescent="0.35">
      <c r="A107" s="353" t="s">
        <v>793</v>
      </c>
      <c r="B107" s="118" t="s">
        <v>156</v>
      </c>
      <c r="C107" s="31">
        <f>C103+1</f>
        <v>28</v>
      </c>
      <c r="D107" s="458" t="s">
        <v>251</v>
      </c>
      <c r="E107" s="7">
        <v>1</v>
      </c>
      <c r="F107" s="20" t="s">
        <v>29</v>
      </c>
    </row>
    <row r="108" spans="1:8" x14ac:dyDescent="0.35">
      <c r="B108" s="119"/>
      <c r="C108" s="32"/>
      <c r="D108" s="454"/>
      <c r="E108" s="21">
        <v>2</v>
      </c>
      <c r="F108" s="22" t="s">
        <v>26</v>
      </c>
    </row>
    <row r="109" spans="1:8" x14ac:dyDescent="0.35">
      <c r="B109" s="115"/>
      <c r="C109" s="97"/>
      <c r="D109" s="454"/>
      <c r="E109" s="21">
        <v>-88</v>
      </c>
      <c r="F109" s="22" t="s">
        <v>103</v>
      </c>
    </row>
    <row r="110" spans="1:8" x14ac:dyDescent="0.35">
      <c r="B110" s="112"/>
      <c r="C110" s="120"/>
      <c r="D110" s="461"/>
      <c r="E110" s="10">
        <v>-99</v>
      </c>
      <c r="F110" s="2" t="s">
        <v>104</v>
      </c>
    </row>
    <row r="118" spans="3:3" ht="12.75" customHeight="1" x14ac:dyDescent="0.35">
      <c r="C118" s="58"/>
    </row>
    <row r="119" spans="3:3" x14ac:dyDescent="0.35">
      <c r="C119" s="58"/>
    </row>
    <row r="120" spans="3:3" x14ac:dyDescent="0.35">
      <c r="C120" s="58"/>
    </row>
    <row r="121" spans="3:3" x14ac:dyDescent="0.35">
      <c r="C121" s="58"/>
    </row>
    <row r="122" spans="3:3" x14ac:dyDescent="0.35">
      <c r="C122" s="58"/>
    </row>
  </sheetData>
  <mergeCells count="49">
    <mergeCell ref="D107:D110"/>
    <mergeCell ref="E98:F98"/>
    <mergeCell ref="B90:D90"/>
    <mergeCell ref="E90:F90"/>
    <mergeCell ref="E91:F91"/>
    <mergeCell ref="E92:F92"/>
    <mergeCell ref="E100:F100"/>
    <mergeCell ref="E101:F101"/>
    <mergeCell ref="D103:D106"/>
    <mergeCell ref="E99:F99"/>
    <mergeCell ref="E94:F94"/>
    <mergeCell ref="E95:F95"/>
    <mergeCell ref="E96:F96"/>
    <mergeCell ref="E97:F97"/>
    <mergeCell ref="B80:B81"/>
    <mergeCell ref="C80:C81"/>
    <mergeCell ref="D80:D81"/>
    <mergeCell ref="B87:H88"/>
    <mergeCell ref="E93:F93"/>
    <mergeCell ref="B82:D82"/>
    <mergeCell ref="B89:F89"/>
    <mergeCell ref="E77:F79"/>
    <mergeCell ref="B37:B44"/>
    <mergeCell ref="C37:C44"/>
    <mergeCell ref="D37:D44"/>
    <mergeCell ref="B45:B55"/>
    <mergeCell ref="C45:C55"/>
    <mergeCell ref="D45:D55"/>
    <mergeCell ref="B56:B62"/>
    <mergeCell ref="C56:C62"/>
    <mergeCell ref="D56:D62"/>
    <mergeCell ref="D64:D65"/>
    <mergeCell ref="D77:D79"/>
    <mergeCell ref="B66:B76"/>
    <mergeCell ref="C66:C76"/>
    <mergeCell ref="D66:D76"/>
    <mergeCell ref="B17:B25"/>
    <mergeCell ref="C17:C25"/>
    <mergeCell ref="D17:D25"/>
    <mergeCell ref="B26:B36"/>
    <mergeCell ref="C26:C36"/>
    <mergeCell ref="D26:D36"/>
    <mergeCell ref="C2:H2"/>
    <mergeCell ref="B4:F4"/>
    <mergeCell ref="B5:C5"/>
    <mergeCell ref="G5:H5"/>
    <mergeCell ref="B7:B16"/>
    <mergeCell ref="C7:C16"/>
    <mergeCell ref="D7:D16"/>
  </mergeCells>
  <pageMargins left="0.7" right="0.7" top="0.75" bottom="0.75" header="0.3" footer="0.3"/>
  <pageSetup orientation="portrait" r:id="rId1"/>
  <headerFooter>
    <oddHeader>&amp;CHOUSEHOLD RESOURCES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view="pageLayout" topLeftCell="A3" zoomScaleNormal="100" workbookViewId="0">
      <selection activeCell="A3" sqref="A3"/>
    </sheetView>
  </sheetViews>
  <sheetFormatPr defaultRowHeight="14.5" x14ac:dyDescent="0.35"/>
  <cols>
    <col min="1" max="1" width="6.54296875" customWidth="1"/>
    <col min="2" max="2" width="16.453125" customWidth="1"/>
    <col min="3" max="3" width="9.7265625" customWidth="1"/>
    <col min="4" max="4" width="13.54296875" customWidth="1"/>
    <col min="5" max="5" width="10"/>
    <col min="6" max="6" width="13.26953125" customWidth="1"/>
    <col min="7" max="7" width="12.453125" customWidth="1"/>
    <col min="8" max="8" width="14.1796875" customWidth="1"/>
    <col min="9" max="9" width="17.81640625" customWidth="1"/>
  </cols>
  <sheetData>
    <row r="1" spans="1:9" ht="15" x14ac:dyDescent="0.35">
      <c r="A1" s="569" t="s">
        <v>154</v>
      </c>
      <c r="B1" s="569"/>
      <c r="C1" s="569"/>
      <c r="D1" s="569"/>
      <c r="E1" s="569"/>
      <c r="F1" s="569"/>
      <c r="G1" s="569"/>
      <c r="H1" s="569"/>
      <c r="I1" s="58"/>
    </row>
    <row r="2" spans="1:9" ht="69" customHeight="1" x14ac:dyDescent="0.35">
      <c r="A2" s="570" t="s">
        <v>959</v>
      </c>
      <c r="B2" s="570"/>
      <c r="C2" s="570"/>
      <c r="D2" s="570"/>
      <c r="E2" s="570"/>
      <c r="F2" s="570"/>
      <c r="G2" s="570"/>
      <c r="H2" s="570"/>
      <c r="I2" s="570"/>
    </row>
    <row r="3" spans="1:9" ht="53.25" customHeight="1" x14ac:dyDescent="0.35">
      <c r="A3" s="59" t="s">
        <v>129</v>
      </c>
      <c r="B3" s="571" t="s">
        <v>130</v>
      </c>
      <c r="C3" s="572"/>
      <c r="D3" s="572"/>
      <c r="E3" s="573"/>
      <c r="F3" s="60" t="s">
        <v>131</v>
      </c>
      <c r="G3" s="574" t="s">
        <v>132</v>
      </c>
      <c r="H3" s="575"/>
      <c r="I3" s="61"/>
    </row>
    <row r="4" spans="1:9" s="351" customFormat="1" ht="21" hidden="1" x14ac:dyDescent="0.25">
      <c r="A4" s="356" t="s">
        <v>722</v>
      </c>
      <c r="B4" s="357" t="s">
        <v>794</v>
      </c>
      <c r="C4" s="358" t="s">
        <v>795</v>
      </c>
      <c r="D4" s="358" t="s">
        <v>796</v>
      </c>
      <c r="E4" s="358" t="s">
        <v>797</v>
      </c>
      <c r="F4" s="358" t="s">
        <v>798</v>
      </c>
      <c r="G4" s="358" t="s">
        <v>799</v>
      </c>
      <c r="H4" s="358" t="s">
        <v>800</v>
      </c>
      <c r="I4" s="358" t="s">
        <v>801</v>
      </c>
    </row>
    <row r="5" spans="1:9" ht="92" x14ac:dyDescent="0.35">
      <c r="A5" s="62" t="s">
        <v>133</v>
      </c>
      <c r="B5" s="62" t="s">
        <v>134</v>
      </c>
      <c r="C5" s="62" t="s">
        <v>802</v>
      </c>
      <c r="D5" s="63" t="s">
        <v>1117</v>
      </c>
      <c r="E5" s="63" t="s">
        <v>135</v>
      </c>
      <c r="F5" s="576" t="s">
        <v>136</v>
      </c>
      <c r="G5" s="63" t="s">
        <v>137</v>
      </c>
      <c r="H5" s="62" t="s">
        <v>138</v>
      </c>
      <c r="I5" s="62" t="s">
        <v>139</v>
      </c>
    </row>
    <row r="6" spans="1:9" x14ac:dyDescent="0.35">
      <c r="A6" s="64"/>
      <c r="B6" s="65"/>
      <c r="C6" s="64"/>
      <c r="D6" s="576"/>
      <c r="E6" s="66" t="s">
        <v>140</v>
      </c>
      <c r="F6" s="577"/>
      <c r="G6" s="576" t="s">
        <v>141</v>
      </c>
      <c r="H6" s="67" t="s">
        <v>142</v>
      </c>
      <c r="I6" s="67" t="s">
        <v>143</v>
      </c>
    </row>
    <row r="7" spans="1:9" ht="23" x14ac:dyDescent="0.35">
      <c r="A7" s="68"/>
      <c r="C7" s="68"/>
      <c r="D7" s="577"/>
      <c r="E7" s="69" t="s">
        <v>144</v>
      </c>
      <c r="F7" s="577"/>
      <c r="G7" s="577"/>
      <c r="H7" s="70" t="s">
        <v>145</v>
      </c>
      <c r="I7" s="71" t="s">
        <v>146</v>
      </c>
    </row>
    <row r="8" spans="1:9" x14ac:dyDescent="0.35">
      <c r="A8" s="72"/>
      <c r="B8" s="73"/>
      <c r="C8" s="72"/>
      <c r="D8" s="578"/>
      <c r="E8" s="74"/>
      <c r="F8" s="578"/>
      <c r="G8" s="578"/>
      <c r="H8" s="75" t="s">
        <v>147</v>
      </c>
      <c r="I8" s="75" t="s">
        <v>147</v>
      </c>
    </row>
    <row r="9" spans="1:9" ht="26" x14ac:dyDescent="0.35">
      <c r="A9" s="76" t="s">
        <v>148</v>
      </c>
      <c r="B9" s="77"/>
      <c r="C9" s="77"/>
      <c r="D9" s="78"/>
      <c r="E9" s="79"/>
      <c r="F9" s="79"/>
      <c r="G9" s="79"/>
      <c r="H9" s="79"/>
      <c r="I9" s="79"/>
    </row>
    <row r="10" spans="1:9" ht="26" x14ac:dyDescent="0.35">
      <c r="A10" s="76" t="s">
        <v>149</v>
      </c>
      <c r="B10" s="77"/>
      <c r="C10" s="77"/>
      <c r="D10" s="78"/>
      <c r="E10" s="79"/>
      <c r="F10" s="79"/>
      <c r="G10" s="79"/>
      <c r="H10" s="79"/>
      <c r="I10" s="79"/>
    </row>
    <row r="11" spans="1:9" ht="26" x14ac:dyDescent="0.35">
      <c r="A11" s="76" t="s">
        <v>150</v>
      </c>
      <c r="B11" s="77"/>
      <c r="C11" s="77"/>
      <c r="D11" s="78"/>
      <c r="E11" s="79"/>
      <c r="F11" s="79"/>
      <c r="G11" s="79"/>
      <c r="H11" s="79"/>
      <c r="I11" s="79"/>
    </row>
    <row r="12" spans="1:9" ht="26" x14ac:dyDescent="0.35">
      <c r="A12" s="76" t="s">
        <v>151</v>
      </c>
      <c r="B12" s="77"/>
      <c r="C12" s="77"/>
      <c r="D12" s="78"/>
      <c r="E12" s="79"/>
      <c r="F12" s="79"/>
      <c r="G12" s="79"/>
      <c r="H12" s="79"/>
      <c r="I12" s="79"/>
    </row>
    <row r="14" spans="1:9" ht="83.25" customHeight="1" x14ac:dyDescent="0.35">
      <c r="A14" s="402" t="s">
        <v>152</v>
      </c>
      <c r="B14" s="566" t="s">
        <v>153</v>
      </c>
      <c r="C14" s="567"/>
      <c r="D14" s="567"/>
      <c r="E14" s="567"/>
      <c r="F14" s="567"/>
      <c r="G14" s="567"/>
      <c r="H14" s="568"/>
      <c r="I14" s="80" t="s">
        <v>131</v>
      </c>
    </row>
  </sheetData>
  <mergeCells count="8">
    <mergeCell ref="B14:H14"/>
    <mergeCell ref="A1:H1"/>
    <mergeCell ref="A2:I2"/>
    <mergeCell ref="B3:E3"/>
    <mergeCell ref="G3:H3"/>
    <mergeCell ref="F5:F8"/>
    <mergeCell ref="D6:D8"/>
    <mergeCell ref="G6:G8"/>
  </mergeCell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5"/>
  <sheetViews>
    <sheetView view="pageLayout" topLeftCell="B70" zoomScaleNormal="100" workbookViewId="0">
      <selection activeCell="D47" sqref="D47:D50"/>
    </sheetView>
  </sheetViews>
  <sheetFormatPr defaultColWidth="9.1796875" defaultRowHeight="13" x14ac:dyDescent="0.3"/>
  <cols>
    <col min="1" max="1" width="0" style="367" hidden="1" customWidth="1"/>
    <col min="2" max="2" width="2.1796875" style="82" bestFit="1" customWidth="1"/>
    <col min="3" max="3" width="2.81640625" style="58" bestFit="1" customWidth="1"/>
    <col min="4" max="4" width="42.7265625" style="149" customWidth="1"/>
    <col min="5" max="5" width="3.54296875" style="149" customWidth="1"/>
    <col min="6" max="6" width="14.7265625" style="149" customWidth="1"/>
    <col min="7" max="7" width="9.54296875" style="149" customWidth="1"/>
    <col min="8" max="8" width="11" style="149" customWidth="1"/>
    <col min="9" max="16384" width="9.1796875" style="149"/>
  </cols>
  <sheetData>
    <row r="1" spans="1:8" ht="12.75" customHeight="1" x14ac:dyDescent="0.3">
      <c r="A1" s="355"/>
      <c r="B1" s="606" t="s">
        <v>364</v>
      </c>
      <c r="C1" s="607"/>
      <c r="D1" s="607"/>
      <c r="E1" s="607"/>
      <c r="F1" s="607"/>
      <c r="G1" s="607"/>
      <c r="H1" s="608"/>
    </row>
    <row r="2" spans="1:8" ht="146.25" customHeight="1" x14ac:dyDescent="0.3">
      <c r="A2" s="355"/>
      <c r="B2" s="609"/>
      <c r="C2" s="610"/>
      <c r="D2" s="610"/>
      <c r="E2" s="610"/>
      <c r="F2" s="610"/>
      <c r="G2" s="610"/>
      <c r="H2" s="611"/>
    </row>
    <row r="3" spans="1:8" ht="45" customHeight="1" x14ac:dyDescent="0.3">
      <c r="A3" s="355"/>
      <c r="B3" s="612" t="s">
        <v>365</v>
      </c>
      <c r="C3" s="613"/>
      <c r="D3" s="613"/>
      <c r="E3" s="613"/>
      <c r="F3" s="613"/>
      <c r="G3" s="613"/>
      <c r="H3" s="614"/>
    </row>
    <row r="4" spans="1:8" x14ac:dyDescent="0.3">
      <c r="A4" s="355"/>
      <c r="B4" s="81"/>
      <c r="C4" s="81"/>
      <c r="D4" s="29"/>
      <c r="E4" s="81"/>
      <c r="F4" s="81"/>
      <c r="G4" s="81"/>
      <c r="H4" s="81"/>
    </row>
    <row r="5" spans="1:8" ht="30" customHeight="1" x14ac:dyDescent="0.3">
      <c r="A5" s="355" t="s">
        <v>839</v>
      </c>
      <c r="B5" s="599" t="s">
        <v>0</v>
      </c>
      <c r="C5" s="600"/>
      <c r="D5" s="184" t="s">
        <v>681</v>
      </c>
      <c r="E5" s="599" t="s">
        <v>256</v>
      </c>
      <c r="F5" s="601"/>
      <c r="G5" s="602" t="s">
        <v>682</v>
      </c>
      <c r="H5" s="602"/>
    </row>
    <row r="6" spans="1:8" ht="59.25" customHeight="1" x14ac:dyDescent="0.3">
      <c r="A6" s="355"/>
      <c r="B6" s="258"/>
      <c r="C6" s="29"/>
      <c r="D6" s="175" t="s">
        <v>366</v>
      </c>
      <c r="E6" s="151"/>
      <c r="F6" s="176"/>
      <c r="G6" s="615" t="s">
        <v>367</v>
      </c>
      <c r="H6" s="615"/>
    </row>
    <row r="7" spans="1:8" ht="15" customHeight="1" x14ac:dyDescent="0.3">
      <c r="A7" s="354" t="s">
        <v>803</v>
      </c>
      <c r="B7" s="258" t="s">
        <v>368</v>
      </c>
      <c r="C7" s="18">
        <v>1</v>
      </c>
      <c r="D7" s="590" t="s">
        <v>369</v>
      </c>
      <c r="E7" s="177">
        <v>1</v>
      </c>
      <c r="F7" s="178" t="s">
        <v>29</v>
      </c>
      <c r="G7" s="179" t="s">
        <v>370</v>
      </c>
      <c r="H7" s="37" t="s">
        <v>371</v>
      </c>
    </row>
    <row r="8" spans="1:8" ht="21.5" x14ac:dyDescent="0.3">
      <c r="A8" s="354" t="s">
        <v>804</v>
      </c>
      <c r="B8" s="239"/>
      <c r="C8" s="26"/>
      <c r="D8" s="591"/>
      <c r="E8" s="180">
        <v>2</v>
      </c>
      <c r="F8" s="82" t="s">
        <v>26</v>
      </c>
      <c r="G8" s="142"/>
      <c r="H8" s="143"/>
    </row>
    <row r="9" spans="1:8" x14ac:dyDescent="0.3">
      <c r="A9" s="355"/>
      <c r="B9" s="239"/>
      <c r="C9" s="26"/>
      <c r="D9" s="591"/>
      <c r="E9" s="142">
        <v>-88</v>
      </c>
      <c r="F9" s="149" t="s">
        <v>103</v>
      </c>
      <c r="G9" s="142"/>
      <c r="H9" s="143"/>
    </row>
    <row r="10" spans="1:8" x14ac:dyDescent="0.3">
      <c r="A10" s="355"/>
      <c r="B10" s="104"/>
      <c r="C10" s="28"/>
      <c r="D10" s="591"/>
      <c r="E10" s="142">
        <v>-99</v>
      </c>
      <c r="F10" s="149" t="s">
        <v>266</v>
      </c>
      <c r="G10" s="142"/>
      <c r="H10" s="143"/>
    </row>
    <row r="11" spans="1:8" ht="15" customHeight="1" x14ac:dyDescent="0.3">
      <c r="A11" s="354" t="s">
        <v>805</v>
      </c>
      <c r="B11" s="239" t="s">
        <v>368</v>
      </c>
      <c r="C11" s="26">
        <f>C7+1</f>
        <v>2</v>
      </c>
      <c r="D11" s="590" t="s">
        <v>372</v>
      </c>
      <c r="E11" s="177">
        <v>1</v>
      </c>
      <c r="F11" s="178" t="s">
        <v>29</v>
      </c>
      <c r="G11" s="161" t="s">
        <v>370</v>
      </c>
      <c r="H11" s="37" t="s">
        <v>371</v>
      </c>
    </row>
    <row r="12" spans="1:8" ht="21.5" x14ac:dyDescent="0.3">
      <c r="A12" s="354" t="s">
        <v>806</v>
      </c>
      <c r="B12" s="239"/>
      <c r="C12" s="26"/>
      <c r="D12" s="591"/>
      <c r="E12" s="180">
        <v>2</v>
      </c>
      <c r="F12" s="82" t="s">
        <v>26</v>
      </c>
      <c r="G12" s="142"/>
      <c r="H12" s="143"/>
    </row>
    <row r="13" spans="1:8" x14ac:dyDescent="0.3">
      <c r="A13" s="355"/>
      <c r="B13" s="239"/>
      <c r="C13" s="26"/>
      <c r="D13" s="591"/>
      <c r="E13" s="142">
        <v>-88</v>
      </c>
      <c r="F13" s="149" t="s">
        <v>103</v>
      </c>
      <c r="G13" s="142"/>
      <c r="H13" s="143"/>
    </row>
    <row r="14" spans="1:8" x14ac:dyDescent="0.3">
      <c r="A14" s="355"/>
      <c r="B14" s="239"/>
      <c r="C14" s="26"/>
      <c r="D14" s="591"/>
      <c r="E14" s="142">
        <v>-99</v>
      </c>
      <c r="F14" s="149" t="s">
        <v>266</v>
      </c>
      <c r="G14" s="142"/>
      <c r="H14" s="143"/>
    </row>
    <row r="15" spans="1:8" ht="15" customHeight="1" x14ac:dyDescent="0.3">
      <c r="A15" s="354" t="s">
        <v>807</v>
      </c>
      <c r="B15" s="258" t="s">
        <v>368</v>
      </c>
      <c r="C15" s="18">
        <f>C11+1</f>
        <v>3</v>
      </c>
      <c r="D15" s="590" t="s">
        <v>373</v>
      </c>
      <c r="E15" s="177">
        <v>1</v>
      </c>
      <c r="F15" s="178" t="s">
        <v>29</v>
      </c>
      <c r="G15" s="161" t="s">
        <v>370</v>
      </c>
      <c r="H15" s="37" t="s">
        <v>371</v>
      </c>
    </row>
    <row r="16" spans="1:8" ht="21.5" x14ac:dyDescent="0.3">
      <c r="A16" s="354" t="s">
        <v>808</v>
      </c>
      <c r="B16" s="239"/>
      <c r="C16" s="26"/>
      <c r="D16" s="591"/>
      <c r="E16" s="180">
        <v>2</v>
      </c>
      <c r="F16" s="82" t="s">
        <v>26</v>
      </c>
      <c r="G16" s="142"/>
      <c r="H16" s="143"/>
    </row>
    <row r="17" spans="1:8" x14ac:dyDescent="0.3">
      <c r="A17" s="355"/>
      <c r="B17" s="239"/>
      <c r="C17" s="26"/>
      <c r="D17" s="591"/>
      <c r="E17" s="142">
        <v>-88</v>
      </c>
      <c r="F17" s="149" t="s">
        <v>103</v>
      </c>
      <c r="G17" s="142"/>
      <c r="H17" s="143"/>
    </row>
    <row r="18" spans="1:8" x14ac:dyDescent="0.3">
      <c r="A18" s="355"/>
      <c r="B18" s="104"/>
      <c r="C18" s="28"/>
      <c r="D18" s="591"/>
      <c r="E18" s="142">
        <v>-99</v>
      </c>
      <c r="F18" s="149" t="s">
        <v>266</v>
      </c>
      <c r="G18" s="142"/>
      <c r="H18" s="143"/>
    </row>
    <row r="19" spans="1:8" ht="21.5" x14ac:dyDescent="0.3">
      <c r="A19" s="354" t="s">
        <v>809</v>
      </c>
      <c r="B19" s="239" t="s">
        <v>368</v>
      </c>
      <c r="C19" s="26">
        <f>C15+1</f>
        <v>4</v>
      </c>
      <c r="D19" s="590" t="s">
        <v>374</v>
      </c>
      <c r="E19" s="177">
        <v>1</v>
      </c>
      <c r="F19" s="178" t="s">
        <v>29</v>
      </c>
      <c r="G19" s="161" t="s">
        <v>370</v>
      </c>
      <c r="H19" s="37" t="s">
        <v>371</v>
      </c>
    </row>
    <row r="20" spans="1:8" ht="21.5" x14ac:dyDescent="0.3">
      <c r="A20" s="354" t="s">
        <v>810</v>
      </c>
      <c r="B20" s="239"/>
      <c r="C20" s="26"/>
      <c r="D20" s="591"/>
      <c r="E20" s="180">
        <v>2</v>
      </c>
      <c r="F20" s="82" t="s">
        <v>26</v>
      </c>
      <c r="G20" s="142"/>
      <c r="H20" s="143"/>
    </row>
    <row r="21" spans="1:8" x14ac:dyDescent="0.3">
      <c r="A21" s="355"/>
      <c r="B21" s="239"/>
      <c r="C21" s="26"/>
      <c r="D21" s="591"/>
      <c r="E21" s="142">
        <v>-88</v>
      </c>
      <c r="F21" s="149" t="s">
        <v>103</v>
      </c>
      <c r="G21" s="142"/>
      <c r="H21" s="143"/>
    </row>
    <row r="22" spans="1:8" x14ac:dyDescent="0.3">
      <c r="A22" s="355"/>
      <c r="B22" s="239"/>
      <c r="C22" s="26"/>
      <c r="D22" s="592"/>
      <c r="E22" s="142">
        <v>-99</v>
      </c>
      <c r="F22" s="149" t="s">
        <v>266</v>
      </c>
      <c r="G22" s="142"/>
      <c r="H22" s="143"/>
    </row>
    <row r="23" spans="1:8" x14ac:dyDescent="0.3">
      <c r="A23" s="354" t="s">
        <v>811</v>
      </c>
      <c r="B23" s="258" t="s">
        <v>368</v>
      </c>
      <c r="C23" s="18">
        <f>C19+1</f>
        <v>5</v>
      </c>
      <c r="D23" s="590" t="s">
        <v>375</v>
      </c>
      <c r="E23" s="177">
        <v>1</v>
      </c>
      <c r="F23" s="178" t="s">
        <v>29</v>
      </c>
      <c r="G23" s="161" t="s">
        <v>370</v>
      </c>
      <c r="H23" s="37" t="s">
        <v>371</v>
      </c>
    </row>
    <row r="24" spans="1:8" ht="21.5" x14ac:dyDescent="0.3">
      <c r="A24" s="354" t="s">
        <v>812</v>
      </c>
      <c r="B24" s="239"/>
      <c r="C24" s="26"/>
      <c r="D24" s="591"/>
      <c r="E24" s="180">
        <v>2</v>
      </c>
      <c r="F24" s="82" t="s">
        <v>26</v>
      </c>
      <c r="G24" s="142"/>
      <c r="H24" s="143"/>
    </row>
    <row r="25" spans="1:8" x14ac:dyDescent="0.3">
      <c r="A25" s="355"/>
      <c r="B25" s="239"/>
      <c r="C25" s="26"/>
      <c r="D25" s="591"/>
      <c r="E25" s="142">
        <v>-88</v>
      </c>
      <c r="F25" s="149" t="s">
        <v>103</v>
      </c>
      <c r="G25" s="142"/>
      <c r="H25" s="143"/>
    </row>
    <row r="26" spans="1:8" ht="66.75" customHeight="1" x14ac:dyDescent="0.3">
      <c r="A26" s="355"/>
      <c r="B26" s="104"/>
      <c r="C26" s="28"/>
      <c r="D26" s="592"/>
      <c r="E26" s="440">
        <v>-99</v>
      </c>
      <c r="F26" s="441" t="s">
        <v>266</v>
      </c>
      <c r="G26" s="440"/>
      <c r="H26" s="143"/>
    </row>
    <row r="27" spans="1:8" x14ac:dyDescent="0.3">
      <c r="A27" s="354" t="s">
        <v>813</v>
      </c>
      <c r="B27" s="239" t="s">
        <v>368</v>
      </c>
      <c r="C27" s="26">
        <f>C23+1</f>
        <v>6</v>
      </c>
      <c r="D27" s="604" t="s">
        <v>376</v>
      </c>
      <c r="E27" s="177">
        <v>1</v>
      </c>
      <c r="F27" s="178" t="s">
        <v>29</v>
      </c>
      <c r="G27" s="161" t="s">
        <v>370</v>
      </c>
      <c r="H27" s="37" t="s">
        <v>371</v>
      </c>
    </row>
    <row r="28" spans="1:8" ht="21.5" x14ac:dyDescent="0.3">
      <c r="A28" s="354" t="s">
        <v>814</v>
      </c>
      <c r="B28" s="239"/>
      <c r="C28" s="26"/>
      <c r="D28" s="604"/>
      <c r="E28" s="180">
        <v>2</v>
      </c>
      <c r="F28" s="82" t="s">
        <v>26</v>
      </c>
      <c r="G28" s="142"/>
      <c r="H28" s="143"/>
    </row>
    <row r="29" spans="1:8" x14ac:dyDescent="0.3">
      <c r="A29" s="355"/>
      <c r="B29" s="239"/>
      <c r="C29" s="26"/>
      <c r="D29" s="604"/>
      <c r="E29" s="142">
        <v>-88</v>
      </c>
      <c r="F29" s="149" t="s">
        <v>103</v>
      </c>
      <c r="G29" s="142"/>
      <c r="H29" s="143"/>
    </row>
    <row r="30" spans="1:8" x14ac:dyDescent="0.3">
      <c r="A30" s="355"/>
      <c r="B30" s="104"/>
      <c r="C30" s="28"/>
      <c r="D30" s="605"/>
      <c r="E30" s="145">
        <v>-99</v>
      </c>
      <c r="F30" s="182" t="s">
        <v>266</v>
      </c>
      <c r="G30" s="145"/>
      <c r="H30" s="146"/>
    </row>
    <row r="31" spans="1:8" x14ac:dyDescent="0.3">
      <c r="A31" s="354" t="s">
        <v>815</v>
      </c>
      <c r="B31" s="258" t="s">
        <v>368</v>
      </c>
      <c r="C31" s="18">
        <f>C27+1</f>
        <v>7</v>
      </c>
      <c r="D31" s="590" t="s">
        <v>377</v>
      </c>
      <c r="E31" s="177">
        <v>1</v>
      </c>
      <c r="F31" s="178" t="s">
        <v>29</v>
      </c>
      <c r="G31" s="161" t="s">
        <v>370</v>
      </c>
      <c r="H31" s="37" t="s">
        <v>371</v>
      </c>
    </row>
    <row r="32" spans="1:8" ht="21.5" x14ac:dyDescent="0.3">
      <c r="A32" s="354" t="s">
        <v>816</v>
      </c>
      <c r="B32" s="239"/>
      <c r="C32" s="26"/>
      <c r="D32" s="591"/>
      <c r="E32" s="180">
        <v>2</v>
      </c>
      <c r="F32" s="82" t="s">
        <v>26</v>
      </c>
      <c r="G32" s="142"/>
      <c r="H32" s="143"/>
    </row>
    <row r="33" spans="1:8" x14ac:dyDescent="0.3">
      <c r="A33" s="355"/>
      <c r="B33" s="239"/>
      <c r="C33" s="26"/>
      <c r="D33" s="591"/>
      <c r="E33" s="142">
        <v>-88</v>
      </c>
      <c r="F33" s="149" t="s">
        <v>103</v>
      </c>
      <c r="G33" s="142"/>
      <c r="H33" s="143"/>
    </row>
    <row r="34" spans="1:8" x14ac:dyDescent="0.3">
      <c r="A34" s="355"/>
      <c r="B34" s="239"/>
      <c r="C34" s="26"/>
      <c r="D34" s="591"/>
      <c r="E34" s="142">
        <v>-99</v>
      </c>
      <c r="F34" s="149" t="s">
        <v>266</v>
      </c>
      <c r="G34" s="142"/>
      <c r="H34" s="143"/>
    </row>
    <row r="35" spans="1:8" ht="15" customHeight="1" x14ac:dyDescent="0.3">
      <c r="A35" s="354" t="s">
        <v>817</v>
      </c>
      <c r="B35" s="258" t="s">
        <v>368</v>
      </c>
      <c r="C35" s="18">
        <f>C31+1</f>
        <v>8</v>
      </c>
      <c r="D35" s="590" t="s">
        <v>378</v>
      </c>
      <c r="E35" s="177">
        <v>1</v>
      </c>
      <c r="F35" s="178" t="s">
        <v>29</v>
      </c>
      <c r="G35" s="161" t="s">
        <v>370</v>
      </c>
      <c r="H35" s="37" t="s">
        <v>371</v>
      </c>
    </row>
    <row r="36" spans="1:8" ht="21.5" x14ac:dyDescent="0.3">
      <c r="A36" s="354" t="s">
        <v>818</v>
      </c>
      <c r="B36" s="239"/>
      <c r="C36" s="26"/>
      <c r="D36" s="591"/>
      <c r="E36" s="180">
        <v>2</v>
      </c>
      <c r="F36" s="82" t="s">
        <v>26</v>
      </c>
      <c r="G36" s="142"/>
      <c r="H36" s="143"/>
    </row>
    <row r="37" spans="1:8" x14ac:dyDescent="0.3">
      <c r="A37" s="355"/>
      <c r="B37" s="239"/>
      <c r="C37" s="26"/>
      <c r="D37" s="591"/>
      <c r="E37" s="142">
        <v>-88</v>
      </c>
      <c r="F37" s="149" t="s">
        <v>103</v>
      </c>
      <c r="G37" s="142"/>
      <c r="H37" s="143"/>
    </row>
    <row r="38" spans="1:8" x14ac:dyDescent="0.3">
      <c r="A38" s="355"/>
      <c r="B38" s="104"/>
      <c r="C38" s="28"/>
      <c r="D38" s="592"/>
      <c r="E38" s="145">
        <v>-99</v>
      </c>
      <c r="F38" s="182" t="s">
        <v>266</v>
      </c>
      <c r="G38" s="145"/>
      <c r="H38" s="146"/>
    </row>
    <row r="39" spans="1:8" ht="15" customHeight="1" x14ac:dyDescent="0.3">
      <c r="A39" s="354" t="s">
        <v>819</v>
      </c>
      <c r="B39" s="239" t="s">
        <v>368</v>
      </c>
      <c r="C39" s="26">
        <f>C35+1</f>
        <v>9</v>
      </c>
      <c r="D39" s="580" t="s">
        <v>379</v>
      </c>
      <c r="E39" s="180">
        <v>1</v>
      </c>
      <c r="F39" s="82" t="s">
        <v>29</v>
      </c>
      <c r="G39" s="183" t="s">
        <v>370</v>
      </c>
      <c r="H39" s="46" t="s">
        <v>371</v>
      </c>
    </row>
    <row r="40" spans="1:8" ht="21.5" x14ac:dyDescent="0.3">
      <c r="A40" s="354" t="s">
        <v>820</v>
      </c>
      <c r="B40" s="239"/>
      <c r="C40" s="26"/>
      <c r="D40" s="580"/>
      <c r="E40" s="180">
        <v>2</v>
      </c>
      <c r="F40" s="82" t="s">
        <v>26</v>
      </c>
      <c r="G40" s="142"/>
      <c r="H40" s="143"/>
    </row>
    <row r="41" spans="1:8" x14ac:dyDescent="0.3">
      <c r="A41" s="355"/>
      <c r="B41" s="239"/>
      <c r="C41" s="26"/>
      <c r="D41" s="580"/>
      <c r="E41" s="142">
        <v>-88</v>
      </c>
      <c r="F41" s="149" t="s">
        <v>103</v>
      </c>
      <c r="G41" s="142"/>
      <c r="H41" s="143"/>
    </row>
    <row r="42" spans="1:8" x14ac:dyDescent="0.3">
      <c r="A42" s="355"/>
      <c r="B42" s="104"/>
      <c r="C42" s="28"/>
      <c r="D42" s="585"/>
      <c r="E42" s="145">
        <v>-99</v>
      </c>
      <c r="F42" s="182" t="s">
        <v>266</v>
      </c>
      <c r="G42" s="145"/>
      <c r="H42" s="146"/>
    </row>
    <row r="43" spans="1:8" ht="15" customHeight="1" x14ac:dyDescent="0.3">
      <c r="A43" s="354" t="s">
        <v>821</v>
      </c>
      <c r="B43" s="258" t="s">
        <v>368</v>
      </c>
      <c r="C43" s="18">
        <f>C39+1</f>
        <v>10</v>
      </c>
      <c r="D43" s="590" t="s">
        <v>380</v>
      </c>
      <c r="E43" s="177">
        <v>1</v>
      </c>
      <c r="F43" s="178" t="s">
        <v>29</v>
      </c>
      <c r="G43" s="161" t="s">
        <v>370</v>
      </c>
      <c r="H43" s="37" t="s">
        <v>371</v>
      </c>
    </row>
    <row r="44" spans="1:8" ht="21.5" x14ac:dyDescent="0.3">
      <c r="A44" s="354" t="s">
        <v>822</v>
      </c>
      <c r="B44" s="239"/>
      <c r="C44" s="26"/>
      <c r="D44" s="591"/>
      <c r="E44" s="180">
        <v>2</v>
      </c>
      <c r="F44" s="82" t="s">
        <v>26</v>
      </c>
      <c r="G44" s="142"/>
      <c r="H44" s="143"/>
    </row>
    <row r="45" spans="1:8" x14ac:dyDescent="0.3">
      <c r="A45" s="355"/>
      <c r="B45" s="239"/>
      <c r="C45" s="26"/>
      <c r="D45" s="591"/>
      <c r="E45" s="142">
        <v>-88</v>
      </c>
      <c r="F45" s="149" t="s">
        <v>103</v>
      </c>
      <c r="G45" s="142"/>
      <c r="H45" s="143"/>
    </row>
    <row r="46" spans="1:8" ht="26.25" customHeight="1" x14ac:dyDescent="0.3">
      <c r="A46" s="355"/>
      <c r="B46" s="239"/>
      <c r="C46" s="26"/>
      <c r="D46" s="591"/>
      <c r="E46" s="115">
        <v>-99</v>
      </c>
      <c r="F46" s="58" t="s">
        <v>266</v>
      </c>
      <c r="G46" s="142"/>
      <c r="H46" s="143"/>
    </row>
    <row r="47" spans="1:8" ht="15" customHeight="1" x14ac:dyDescent="0.3">
      <c r="A47" s="354" t="s">
        <v>823</v>
      </c>
      <c r="B47" s="258" t="s">
        <v>368</v>
      </c>
      <c r="C47" s="18">
        <f>C43+1</f>
        <v>11</v>
      </c>
      <c r="D47" s="579" t="s">
        <v>381</v>
      </c>
      <c r="E47" s="177">
        <v>1</v>
      </c>
      <c r="F47" s="178" t="s">
        <v>29</v>
      </c>
      <c r="G47" s="161" t="s">
        <v>370</v>
      </c>
      <c r="H47" s="37" t="s">
        <v>371</v>
      </c>
    </row>
    <row r="48" spans="1:8" ht="21.5" x14ac:dyDescent="0.3">
      <c r="A48" s="354" t="s">
        <v>824</v>
      </c>
      <c r="B48" s="239"/>
      <c r="C48" s="26"/>
      <c r="D48" s="591"/>
      <c r="E48" s="180">
        <v>2</v>
      </c>
      <c r="F48" s="82" t="s">
        <v>26</v>
      </c>
      <c r="G48" s="142"/>
      <c r="H48" s="143"/>
    </row>
    <row r="49" spans="1:8" x14ac:dyDescent="0.3">
      <c r="A49" s="355"/>
      <c r="B49" s="239"/>
      <c r="C49" s="26"/>
      <c r="D49" s="591"/>
      <c r="E49" s="142">
        <v>-88</v>
      </c>
      <c r="F49" s="149" t="s">
        <v>103</v>
      </c>
      <c r="G49" s="142"/>
      <c r="H49" s="143"/>
    </row>
    <row r="50" spans="1:8" x14ac:dyDescent="0.3">
      <c r="A50" s="355"/>
      <c r="B50" s="104"/>
      <c r="C50" s="28"/>
      <c r="D50" s="592"/>
      <c r="E50" s="145">
        <v>-99</v>
      </c>
      <c r="F50" s="182" t="s">
        <v>266</v>
      </c>
      <c r="G50" s="145"/>
      <c r="H50" s="146"/>
    </row>
    <row r="51" spans="1:8" ht="21.5" x14ac:dyDescent="0.3">
      <c r="A51" s="354" t="s">
        <v>825</v>
      </c>
      <c r="B51" s="258" t="s">
        <v>368</v>
      </c>
      <c r="C51" s="18">
        <f>C47+1</f>
        <v>12</v>
      </c>
      <c r="D51" s="579" t="s">
        <v>382</v>
      </c>
      <c r="E51" s="177">
        <v>1</v>
      </c>
      <c r="F51" s="178" t="s">
        <v>29</v>
      </c>
      <c r="G51" s="161" t="s">
        <v>370</v>
      </c>
      <c r="H51" s="37" t="s">
        <v>371</v>
      </c>
    </row>
    <row r="52" spans="1:8" ht="21.5" x14ac:dyDescent="0.3">
      <c r="A52" s="354" t="s">
        <v>826</v>
      </c>
      <c r="B52" s="239"/>
      <c r="C52" s="26"/>
      <c r="D52" s="591"/>
      <c r="E52" s="180">
        <v>2</v>
      </c>
      <c r="F52" s="82" t="s">
        <v>26</v>
      </c>
      <c r="G52" s="142"/>
      <c r="H52" s="143"/>
    </row>
    <row r="53" spans="1:8" x14ac:dyDescent="0.3">
      <c r="A53" s="355"/>
      <c r="B53" s="239"/>
      <c r="C53" s="26"/>
      <c r="D53" s="591"/>
      <c r="E53" s="142">
        <v>-88</v>
      </c>
      <c r="F53" s="149" t="s">
        <v>103</v>
      </c>
      <c r="G53" s="142"/>
      <c r="H53" s="143"/>
    </row>
    <row r="54" spans="1:8" ht="13.5" customHeight="1" x14ac:dyDescent="0.3">
      <c r="A54" s="355"/>
      <c r="B54" s="104"/>
      <c r="C54" s="28"/>
      <c r="D54" s="592"/>
      <c r="E54" s="145">
        <v>-99</v>
      </c>
      <c r="F54" s="182" t="s">
        <v>266</v>
      </c>
      <c r="G54" s="145"/>
      <c r="H54" s="146"/>
    </row>
    <row r="55" spans="1:8" ht="57" customHeight="1" x14ac:dyDescent="0.3">
      <c r="A55" s="355"/>
      <c r="B55" s="593" t="s">
        <v>383</v>
      </c>
      <c r="C55" s="594"/>
      <c r="D55" s="594"/>
      <c r="E55" s="594"/>
      <c r="F55" s="594"/>
      <c r="G55" s="594"/>
      <c r="H55" s="595"/>
    </row>
    <row r="56" spans="1:8" ht="27.75" customHeight="1" x14ac:dyDescent="0.3">
      <c r="A56" s="355"/>
      <c r="B56" s="596" t="s">
        <v>384</v>
      </c>
      <c r="C56" s="597"/>
      <c r="D56" s="597"/>
      <c r="E56" s="597"/>
      <c r="F56" s="597"/>
      <c r="G56" s="597"/>
      <c r="H56" s="598"/>
    </row>
    <row r="57" spans="1:8" x14ac:dyDescent="0.3">
      <c r="A57" s="355"/>
      <c r="B57" s="599" t="s">
        <v>0</v>
      </c>
      <c r="C57" s="600"/>
      <c r="D57" s="184" t="s">
        <v>255</v>
      </c>
      <c r="E57" s="599" t="s">
        <v>256</v>
      </c>
      <c r="F57" s="601"/>
      <c r="G57" s="602"/>
      <c r="H57" s="603"/>
    </row>
    <row r="58" spans="1:8" ht="39.75" customHeight="1" x14ac:dyDescent="0.3">
      <c r="A58" s="355"/>
      <c r="B58" s="403"/>
      <c r="C58" s="404"/>
      <c r="D58" s="185" t="s">
        <v>385</v>
      </c>
      <c r="E58" s="405"/>
      <c r="F58" s="406"/>
      <c r="G58" s="588" t="s">
        <v>386</v>
      </c>
      <c r="H58" s="589"/>
    </row>
    <row r="59" spans="1:8" ht="21.5" x14ac:dyDescent="0.3">
      <c r="A59" s="354" t="s">
        <v>827</v>
      </c>
      <c r="B59" s="162" t="s">
        <v>368</v>
      </c>
      <c r="C59" s="20">
        <v>13</v>
      </c>
      <c r="D59" s="579" t="s">
        <v>387</v>
      </c>
      <c r="E59" s="177">
        <v>1</v>
      </c>
      <c r="F59" s="178" t="s">
        <v>29</v>
      </c>
      <c r="G59" s="581" t="s">
        <v>388</v>
      </c>
      <c r="H59" s="582"/>
    </row>
    <row r="60" spans="1:8" ht="21.5" x14ac:dyDescent="0.3">
      <c r="A60" s="354" t="s">
        <v>828</v>
      </c>
      <c r="B60" s="164"/>
      <c r="C60" s="22"/>
      <c r="D60" s="580"/>
      <c r="E60" s="180">
        <v>2</v>
      </c>
      <c r="F60" s="82" t="s">
        <v>26</v>
      </c>
      <c r="G60" s="583"/>
      <c r="H60" s="584"/>
    </row>
    <row r="61" spans="1:8" x14ac:dyDescent="0.3">
      <c r="A61" s="355"/>
      <c r="B61" s="164"/>
      <c r="C61" s="22"/>
      <c r="D61" s="580"/>
      <c r="E61" s="142">
        <v>-88</v>
      </c>
      <c r="F61" s="149" t="s">
        <v>103</v>
      </c>
      <c r="G61" s="583"/>
      <c r="H61" s="584"/>
    </row>
    <row r="62" spans="1:8" ht="35.25" customHeight="1" x14ac:dyDescent="0.3">
      <c r="A62" s="355"/>
      <c r="B62" s="164"/>
      <c r="C62" s="22"/>
      <c r="D62" s="580"/>
      <c r="E62" s="142">
        <v>-99</v>
      </c>
      <c r="F62" s="149" t="s">
        <v>266</v>
      </c>
      <c r="G62" s="583"/>
      <c r="H62" s="584"/>
    </row>
    <row r="63" spans="1:8" ht="21.5" x14ac:dyDescent="0.3">
      <c r="A63" s="354" t="s">
        <v>829</v>
      </c>
      <c r="B63" s="162" t="s">
        <v>368</v>
      </c>
      <c r="C63" s="20">
        <v>14</v>
      </c>
      <c r="D63" s="579" t="s">
        <v>389</v>
      </c>
      <c r="E63" s="177">
        <v>1</v>
      </c>
      <c r="F63" s="178" t="s">
        <v>29</v>
      </c>
      <c r="G63" s="581" t="s">
        <v>388</v>
      </c>
      <c r="H63" s="582"/>
    </row>
    <row r="64" spans="1:8" ht="21.5" x14ac:dyDescent="0.3">
      <c r="A64" s="354" t="s">
        <v>830</v>
      </c>
      <c r="B64" s="164"/>
      <c r="C64" s="22"/>
      <c r="D64" s="580"/>
      <c r="E64" s="180">
        <v>2</v>
      </c>
      <c r="F64" s="82" t="s">
        <v>26</v>
      </c>
      <c r="G64" s="583"/>
      <c r="H64" s="584"/>
    </row>
    <row r="65" spans="1:8" x14ac:dyDescent="0.3">
      <c r="A65" s="355"/>
      <c r="B65" s="164"/>
      <c r="C65" s="22"/>
      <c r="D65" s="580"/>
      <c r="E65" s="142">
        <v>-88</v>
      </c>
      <c r="F65" s="149" t="s">
        <v>103</v>
      </c>
      <c r="G65" s="583"/>
      <c r="H65" s="584"/>
    </row>
    <row r="66" spans="1:8" x14ac:dyDescent="0.3">
      <c r="A66" s="355"/>
      <c r="B66" s="164"/>
      <c r="C66" s="22"/>
      <c r="D66" s="580"/>
      <c r="E66" s="142">
        <v>-99</v>
      </c>
      <c r="F66" s="149" t="s">
        <v>266</v>
      </c>
      <c r="G66" s="583"/>
      <c r="H66" s="584"/>
    </row>
    <row r="67" spans="1:8" ht="21.5" x14ac:dyDescent="0.3">
      <c r="A67" s="354" t="s">
        <v>831</v>
      </c>
      <c r="B67" s="162" t="s">
        <v>368</v>
      </c>
      <c r="C67" s="20">
        <v>15</v>
      </c>
      <c r="D67" s="579" t="s">
        <v>390</v>
      </c>
      <c r="E67" s="177">
        <v>1</v>
      </c>
      <c r="F67" s="178" t="s">
        <v>29</v>
      </c>
      <c r="G67" s="581" t="s">
        <v>388</v>
      </c>
      <c r="H67" s="582"/>
    </row>
    <row r="68" spans="1:8" ht="21.5" x14ac:dyDescent="0.3">
      <c r="A68" s="354" t="s">
        <v>832</v>
      </c>
      <c r="B68" s="164"/>
      <c r="C68" s="22"/>
      <c r="D68" s="580"/>
      <c r="E68" s="180">
        <v>2</v>
      </c>
      <c r="F68" s="82" t="s">
        <v>26</v>
      </c>
      <c r="G68" s="583"/>
      <c r="H68" s="584"/>
    </row>
    <row r="69" spans="1:8" x14ac:dyDescent="0.3">
      <c r="A69" s="355"/>
      <c r="B69" s="164"/>
      <c r="C69" s="22"/>
      <c r="D69" s="580"/>
      <c r="E69" s="142">
        <v>-88</v>
      </c>
      <c r="F69" s="149" t="s">
        <v>103</v>
      </c>
      <c r="G69" s="583"/>
      <c r="H69" s="584"/>
    </row>
    <row r="70" spans="1:8" x14ac:dyDescent="0.3">
      <c r="A70" s="355"/>
      <c r="B70" s="164"/>
      <c r="C70" s="22"/>
      <c r="D70" s="580"/>
      <c r="E70" s="142">
        <v>-99</v>
      </c>
      <c r="F70" s="149" t="s">
        <v>266</v>
      </c>
      <c r="G70" s="583"/>
      <c r="H70" s="584"/>
    </row>
    <row r="71" spans="1:8" ht="21.5" x14ac:dyDescent="0.3">
      <c r="A71" s="354" t="s">
        <v>833</v>
      </c>
      <c r="B71" s="162" t="s">
        <v>368</v>
      </c>
      <c r="C71" s="20">
        <v>16</v>
      </c>
      <c r="D71" s="579" t="s">
        <v>391</v>
      </c>
      <c r="E71" s="177">
        <v>1</v>
      </c>
      <c r="F71" s="178" t="s">
        <v>29</v>
      </c>
      <c r="G71" s="581" t="s">
        <v>388</v>
      </c>
      <c r="H71" s="582"/>
    </row>
    <row r="72" spans="1:8" ht="21.5" x14ac:dyDescent="0.3">
      <c r="A72" s="354" t="s">
        <v>834</v>
      </c>
      <c r="B72" s="164"/>
      <c r="C72" s="22"/>
      <c r="D72" s="580"/>
      <c r="E72" s="180">
        <v>2</v>
      </c>
      <c r="F72" s="82" t="s">
        <v>26</v>
      </c>
      <c r="G72" s="583"/>
      <c r="H72" s="584"/>
    </row>
    <row r="73" spans="1:8" x14ac:dyDescent="0.3">
      <c r="A73" s="355"/>
      <c r="B73" s="164"/>
      <c r="C73" s="22"/>
      <c r="D73" s="580"/>
      <c r="E73" s="142">
        <v>-88</v>
      </c>
      <c r="F73" s="149" t="s">
        <v>103</v>
      </c>
      <c r="G73" s="583"/>
      <c r="H73" s="584"/>
    </row>
    <row r="74" spans="1:8" x14ac:dyDescent="0.3">
      <c r="A74" s="355"/>
      <c r="B74" s="164"/>
      <c r="C74" s="22"/>
      <c r="D74" s="580"/>
      <c r="E74" s="142">
        <v>-99</v>
      </c>
      <c r="F74" s="149" t="s">
        <v>266</v>
      </c>
      <c r="G74" s="583"/>
      <c r="H74" s="584"/>
    </row>
    <row r="75" spans="1:8" ht="21.5" x14ac:dyDescent="0.3">
      <c r="A75" s="354" t="s">
        <v>835</v>
      </c>
      <c r="B75" s="162" t="s">
        <v>368</v>
      </c>
      <c r="C75" s="20">
        <v>17</v>
      </c>
      <c r="D75" s="579" t="s">
        <v>392</v>
      </c>
      <c r="E75" s="177">
        <v>1</v>
      </c>
      <c r="F75" s="178" t="s">
        <v>29</v>
      </c>
      <c r="G75" s="581" t="s">
        <v>388</v>
      </c>
      <c r="H75" s="582"/>
    </row>
    <row r="76" spans="1:8" ht="21.5" x14ac:dyDescent="0.3">
      <c r="A76" s="354" t="s">
        <v>836</v>
      </c>
      <c r="B76" s="164"/>
      <c r="C76" s="22"/>
      <c r="D76" s="580"/>
      <c r="E76" s="180">
        <v>2</v>
      </c>
      <c r="F76" s="82" t="s">
        <v>26</v>
      </c>
      <c r="G76" s="583"/>
      <c r="H76" s="584"/>
    </row>
    <row r="77" spans="1:8" x14ac:dyDescent="0.3">
      <c r="A77" s="355"/>
      <c r="B77" s="164"/>
      <c r="C77" s="22"/>
      <c r="D77" s="580"/>
      <c r="E77" s="142">
        <v>-88</v>
      </c>
      <c r="F77" s="149" t="s">
        <v>103</v>
      </c>
      <c r="G77" s="583"/>
      <c r="H77" s="584"/>
    </row>
    <row r="78" spans="1:8" x14ac:dyDescent="0.3">
      <c r="A78" s="355"/>
      <c r="B78" s="164"/>
      <c r="C78" s="22"/>
      <c r="D78" s="580"/>
      <c r="E78" s="142">
        <v>-99</v>
      </c>
      <c r="F78" s="149" t="s">
        <v>266</v>
      </c>
      <c r="G78" s="583"/>
      <c r="H78" s="584"/>
    </row>
    <row r="79" spans="1:8" ht="21.5" x14ac:dyDescent="0.3">
      <c r="A79" s="354" t="s">
        <v>837</v>
      </c>
      <c r="B79" s="162" t="s">
        <v>368</v>
      </c>
      <c r="C79" s="20">
        <v>18</v>
      </c>
      <c r="D79" s="579" t="s">
        <v>393</v>
      </c>
      <c r="E79" s="177">
        <v>1</v>
      </c>
      <c r="F79" s="178" t="s">
        <v>29</v>
      </c>
      <c r="G79" s="581" t="s">
        <v>388</v>
      </c>
      <c r="H79" s="582"/>
    </row>
    <row r="80" spans="1:8" ht="21.5" x14ac:dyDescent="0.3">
      <c r="A80" s="354" t="s">
        <v>838</v>
      </c>
      <c r="B80" s="164"/>
      <c r="C80" s="22"/>
      <c r="D80" s="580"/>
      <c r="E80" s="180">
        <v>2</v>
      </c>
      <c r="F80" s="82" t="s">
        <v>26</v>
      </c>
      <c r="G80" s="583"/>
      <c r="H80" s="584"/>
    </row>
    <row r="81" spans="1:8" x14ac:dyDescent="0.3">
      <c r="A81" s="355"/>
      <c r="B81" s="164"/>
      <c r="C81" s="22"/>
      <c r="D81" s="580"/>
      <c r="E81" s="142">
        <v>-88</v>
      </c>
      <c r="F81" s="149" t="s">
        <v>103</v>
      </c>
      <c r="G81" s="583"/>
      <c r="H81" s="584"/>
    </row>
    <row r="82" spans="1:8" x14ac:dyDescent="0.3">
      <c r="A82" s="355"/>
      <c r="B82" s="181"/>
      <c r="C82" s="2"/>
      <c r="D82" s="585"/>
      <c r="E82" s="145">
        <v>-99</v>
      </c>
      <c r="F82" s="182" t="s">
        <v>266</v>
      </c>
      <c r="G82" s="586"/>
      <c r="H82" s="587"/>
    </row>
    <row r="83" spans="1:8" x14ac:dyDescent="0.3">
      <c r="B83" s="149"/>
      <c r="C83" s="149"/>
    </row>
    <row r="84" spans="1:8" x14ac:dyDescent="0.3">
      <c r="B84" s="149"/>
      <c r="C84" s="149"/>
    </row>
    <row r="85" spans="1:8" x14ac:dyDescent="0.3">
      <c r="E85" s="186"/>
    </row>
  </sheetData>
  <mergeCells count="36">
    <mergeCell ref="D27:D30"/>
    <mergeCell ref="B1:H2"/>
    <mergeCell ref="B3:H3"/>
    <mergeCell ref="B5:C5"/>
    <mergeCell ref="G6:H6"/>
    <mergeCell ref="E5:F5"/>
    <mergeCell ref="G5:H5"/>
    <mergeCell ref="D7:D10"/>
    <mergeCell ref="D11:D14"/>
    <mergeCell ref="D15:D18"/>
    <mergeCell ref="D19:D22"/>
    <mergeCell ref="D23:D26"/>
    <mergeCell ref="G58:H58"/>
    <mergeCell ref="D31:D34"/>
    <mergeCell ref="D35:D38"/>
    <mergeCell ref="D39:D42"/>
    <mergeCell ref="D43:D46"/>
    <mergeCell ref="D47:D50"/>
    <mergeCell ref="D51:D54"/>
    <mergeCell ref="B55:H55"/>
    <mergeCell ref="B56:H56"/>
    <mergeCell ref="B57:C57"/>
    <mergeCell ref="E57:F57"/>
    <mergeCell ref="G57:H57"/>
    <mergeCell ref="D59:D62"/>
    <mergeCell ref="G59:H62"/>
    <mergeCell ref="D63:D66"/>
    <mergeCell ref="G63:H66"/>
    <mergeCell ref="D67:D70"/>
    <mergeCell ref="G67:H70"/>
    <mergeCell ref="D71:D74"/>
    <mergeCell ref="G71:H74"/>
    <mergeCell ref="D75:D78"/>
    <mergeCell ref="G75:H78"/>
    <mergeCell ref="D79:D82"/>
    <mergeCell ref="G79:H82"/>
  </mergeCells>
  <pageMargins left="0.7" right="0.7" top="0.75" bottom="0.75" header="0.3" footer="0.3"/>
  <pageSetup orientation="portrait" r:id="rId1"/>
  <headerFooter>
    <oddHeader>&amp;CFood Diveristy</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64"/>
  <sheetViews>
    <sheetView view="pageLayout" topLeftCell="B150" zoomScaleNormal="100" workbookViewId="0">
      <selection activeCell="D128" sqref="D128:D133"/>
    </sheetView>
  </sheetViews>
  <sheetFormatPr defaultColWidth="9.1796875" defaultRowHeight="14.5" x14ac:dyDescent="0.35"/>
  <cols>
    <col min="1" max="1" width="0" style="369" hidden="1" customWidth="1"/>
    <col min="2" max="2" width="2.54296875" style="171" bestFit="1" customWidth="1"/>
    <col min="3" max="3" width="3" style="172" bestFit="1" customWidth="1"/>
    <col min="4" max="4" width="36" style="135" customWidth="1"/>
    <col min="5" max="5" width="4.7265625" style="173" customWidth="1"/>
    <col min="6" max="6" width="10.81640625" style="135" customWidth="1"/>
    <col min="7" max="7" width="18.7265625" style="135" customWidth="1"/>
    <col min="8" max="8" width="2.453125" style="135" customWidth="1"/>
    <col min="9" max="9" width="4" style="135" customWidth="1"/>
    <col min="10" max="10" width="13.54296875" style="135" hidden="1" customWidth="1"/>
    <col min="11" max="11" width="28.54296875" style="135" customWidth="1"/>
    <col min="12" max="12" width="36.1796875" style="135" bestFit="1" customWidth="1"/>
    <col min="13" max="13" width="18.26953125" style="135" customWidth="1"/>
    <col min="14" max="16384" width="9.1796875" style="135"/>
  </cols>
  <sheetData>
    <row r="1" spans="1:15" ht="57.75" customHeight="1" x14ac:dyDescent="0.35">
      <c r="A1" s="370"/>
      <c r="B1" s="642" t="s">
        <v>254</v>
      </c>
      <c r="C1" s="643"/>
      <c r="D1" s="643"/>
      <c r="E1" s="643"/>
      <c r="F1" s="643"/>
      <c r="G1" s="643"/>
      <c r="H1" s="643"/>
      <c r="I1" s="644"/>
      <c r="K1" s="136"/>
      <c r="L1" s="136"/>
      <c r="M1" s="136"/>
      <c r="N1" s="136"/>
      <c r="O1" s="136"/>
    </row>
    <row r="2" spans="1:15" ht="42" customHeight="1" thickBot="1" x14ac:dyDescent="0.4">
      <c r="A2" s="370"/>
      <c r="B2" s="650" t="s">
        <v>0</v>
      </c>
      <c r="C2" s="651"/>
      <c r="D2" s="137" t="s">
        <v>255</v>
      </c>
      <c r="E2" s="650" t="s">
        <v>256</v>
      </c>
      <c r="F2" s="652"/>
      <c r="G2" s="651"/>
      <c r="H2" s="653" t="s">
        <v>257</v>
      </c>
      <c r="I2" s="602"/>
      <c r="J2" s="135" t="s">
        <v>258</v>
      </c>
      <c r="K2" s="136"/>
      <c r="L2" s="136"/>
      <c r="M2" s="136"/>
      <c r="N2" s="136"/>
      <c r="O2" s="136"/>
    </row>
    <row r="3" spans="1:15" ht="45.75" customHeight="1" x14ac:dyDescent="0.35">
      <c r="A3" s="370" t="s">
        <v>842</v>
      </c>
      <c r="B3" s="407"/>
      <c r="C3" s="138"/>
      <c r="D3" s="139" t="s">
        <v>259</v>
      </c>
      <c r="E3" s="654"/>
      <c r="F3" s="655"/>
      <c r="G3" s="140" t="s">
        <v>260</v>
      </c>
      <c r="I3" s="136"/>
      <c r="K3" s="136"/>
      <c r="L3" s="136"/>
      <c r="M3" s="136"/>
      <c r="N3" s="136"/>
      <c r="O3" s="136"/>
    </row>
    <row r="4" spans="1:15" x14ac:dyDescent="0.35">
      <c r="A4" s="354" t="s">
        <v>843</v>
      </c>
      <c r="B4" s="408" t="s">
        <v>261</v>
      </c>
      <c r="C4" s="20">
        <v>1</v>
      </c>
      <c r="D4" s="458" t="s">
        <v>262</v>
      </c>
      <c r="E4" s="5">
        <v>1</v>
      </c>
      <c r="F4" s="96" t="s">
        <v>29</v>
      </c>
      <c r="G4" s="620" t="s">
        <v>263</v>
      </c>
      <c r="H4" s="141"/>
      <c r="I4" s="136"/>
      <c r="J4" s="135" t="s">
        <v>264</v>
      </c>
      <c r="K4" s="136"/>
      <c r="L4" s="136"/>
      <c r="M4" s="136"/>
      <c r="N4" s="136"/>
      <c r="O4" s="136"/>
    </row>
    <row r="5" spans="1:15" ht="22" x14ac:dyDescent="0.35">
      <c r="A5" s="354" t="s">
        <v>265</v>
      </c>
      <c r="B5" s="409"/>
      <c r="C5" s="22"/>
      <c r="D5" s="454"/>
      <c r="E5" s="8">
        <v>2</v>
      </c>
      <c r="F5" s="97" t="s">
        <v>26</v>
      </c>
      <c r="G5" s="621"/>
      <c r="H5" s="141"/>
      <c r="I5" s="136"/>
      <c r="J5" s="135" t="s">
        <v>265</v>
      </c>
      <c r="K5" s="136"/>
      <c r="L5" s="136"/>
      <c r="M5" s="136"/>
      <c r="N5" s="136"/>
      <c r="O5" s="136"/>
    </row>
    <row r="6" spans="1:15" ht="22.5" customHeight="1" x14ac:dyDescent="0.35">
      <c r="A6" s="370"/>
      <c r="B6" s="409"/>
      <c r="C6" s="22"/>
      <c r="D6" s="454"/>
      <c r="E6" s="142">
        <v>-88</v>
      </c>
      <c r="F6" s="143" t="s">
        <v>103</v>
      </c>
      <c r="G6" s="621"/>
      <c r="H6" s="141"/>
      <c r="I6" s="136"/>
      <c r="K6" s="136"/>
      <c r="L6" s="136"/>
      <c r="M6" s="136"/>
      <c r="N6" s="136"/>
      <c r="O6" s="136"/>
    </row>
    <row r="7" spans="1:15" ht="16.5" customHeight="1" x14ac:dyDescent="0.35">
      <c r="A7" s="370"/>
      <c r="B7" s="409"/>
      <c r="C7" s="22"/>
      <c r="D7" s="144"/>
      <c r="E7" s="145">
        <v>-99</v>
      </c>
      <c r="F7" s="146" t="s">
        <v>266</v>
      </c>
      <c r="G7" s="621"/>
      <c r="H7" s="141"/>
      <c r="I7" s="136"/>
      <c r="K7" s="136"/>
      <c r="L7" s="136"/>
      <c r="M7" s="136"/>
      <c r="N7" s="136"/>
      <c r="O7" s="136"/>
    </row>
    <row r="8" spans="1:15" ht="22" x14ac:dyDescent="0.35">
      <c r="A8" s="354" t="s">
        <v>844</v>
      </c>
      <c r="B8" s="408" t="s">
        <v>261</v>
      </c>
      <c r="C8" s="20">
        <f>C4+1</f>
        <v>2</v>
      </c>
      <c r="D8" s="458" t="s">
        <v>267</v>
      </c>
      <c r="E8" s="5">
        <v>1</v>
      </c>
      <c r="F8" s="96" t="s">
        <v>29</v>
      </c>
      <c r="G8" s="620" t="s">
        <v>263</v>
      </c>
      <c r="H8" s="141"/>
      <c r="I8" s="136"/>
      <c r="J8" s="135" t="s">
        <v>268</v>
      </c>
      <c r="K8" s="136"/>
      <c r="L8" s="136"/>
      <c r="M8" s="136"/>
      <c r="N8" s="136"/>
      <c r="O8" s="136"/>
    </row>
    <row r="9" spans="1:15" ht="22" x14ac:dyDescent="0.35">
      <c r="A9" s="354" t="s">
        <v>269</v>
      </c>
      <c r="B9" s="409"/>
      <c r="C9" s="22"/>
      <c r="D9" s="454"/>
      <c r="E9" s="8">
        <v>2</v>
      </c>
      <c r="F9" s="97" t="s">
        <v>26</v>
      </c>
      <c r="G9" s="621"/>
      <c r="H9" s="141"/>
      <c r="I9" s="136"/>
      <c r="J9" s="135" t="s">
        <v>269</v>
      </c>
      <c r="K9" s="136"/>
      <c r="L9" s="136"/>
      <c r="M9" s="136"/>
      <c r="N9" s="136"/>
      <c r="O9" s="136"/>
    </row>
    <row r="10" spans="1:15" ht="16.5" customHeight="1" x14ac:dyDescent="0.35">
      <c r="A10" s="370"/>
      <c r="B10" s="409"/>
      <c r="C10" s="22"/>
      <c r="D10" s="454"/>
      <c r="E10" s="142">
        <v>-88</v>
      </c>
      <c r="F10" s="143" t="s">
        <v>103</v>
      </c>
      <c r="G10" s="621"/>
      <c r="H10" s="141"/>
      <c r="I10" s="136"/>
      <c r="K10" s="136"/>
      <c r="L10" s="136"/>
      <c r="M10" s="136"/>
      <c r="N10" s="136"/>
      <c r="O10" s="136"/>
    </row>
    <row r="11" spans="1:15" ht="16.5" customHeight="1" x14ac:dyDescent="0.35">
      <c r="A11" s="370"/>
      <c r="B11" s="409"/>
      <c r="C11" s="22"/>
      <c r="D11" s="144"/>
      <c r="E11" s="145">
        <v>-99</v>
      </c>
      <c r="F11" s="146" t="s">
        <v>266</v>
      </c>
      <c r="G11" s="621"/>
      <c r="H11" s="141"/>
      <c r="I11" s="136"/>
      <c r="K11" s="136"/>
      <c r="L11" s="136"/>
      <c r="M11" s="136"/>
      <c r="N11" s="136"/>
      <c r="O11" s="136"/>
    </row>
    <row r="12" spans="1:15" ht="22" x14ac:dyDescent="0.35">
      <c r="A12" s="354" t="s">
        <v>845</v>
      </c>
      <c r="B12" s="408" t="s">
        <v>261</v>
      </c>
      <c r="C12" s="20">
        <f>C8+1</f>
        <v>3</v>
      </c>
      <c r="D12" s="458" t="s">
        <v>270</v>
      </c>
      <c r="E12" s="5">
        <v>1</v>
      </c>
      <c r="F12" s="96" t="s">
        <v>29</v>
      </c>
      <c r="G12" s="620" t="s">
        <v>263</v>
      </c>
      <c r="H12" s="141"/>
      <c r="I12" s="136"/>
      <c r="J12" s="135" t="s">
        <v>271</v>
      </c>
      <c r="K12" s="136"/>
      <c r="L12" s="136"/>
      <c r="M12" s="136"/>
      <c r="N12" s="136"/>
      <c r="O12" s="136"/>
    </row>
    <row r="13" spans="1:15" ht="22" x14ac:dyDescent="0.35">
      <c r="A13" s="354" t="s">
        <v>272</v>
      </c>
      <c r="B13" s="409"/>
      <c r="C13" s="22"/>
      <c r="D13" s="454"/>
      <c r="E13" s="8">
        <v>2</v>
      </c>
      <c r="F13" s="97" t="s">
        <v>26</v>
      </c>
      <c r="G13" s="621"/>
      <c r="H13" s="141"/>
      <c r="I13" s="136"/>
      <c r="J13" s="135" t="s">
        <v>272</v>
      </c>
      <c r="K13" s="136"/>
      <c r="L13" s="136"/>
      <c r="M13" s="136"/>
      <c r="N13" s="136"/>
      <c r="O13" s="136"/>
    </row>
    <row r="14" spans="1:15" x14ac:dyDescent="0.35">
      <c r="A14" s="370"/>
      <c r="B14" s="409"/>
      <c r="C14" s="22"/>
      <c r="D14" s="454"/>
      <c r="E14" s="142">
        <v>-88</v>
      </c>
      <c r="F14" s="143" t="s">
        <v>103</v>
      </c>
      <c r="G14" s="621"/>
      <c r="H14" s="141"/>
      <c r="I14" s="136"/>
      <c r="K14" s="136"/>
      <c r="L14" s="136"/>
      <c r="M14" s="136"/>
      <c r="N14" s="136"/>
      <c r="O14" s="136"/>
    </row>
    <row r="15" spans="1:15" x14ac:dyDescent="0.35">
      <c r="A15" s="370"/>
      <c r="B15" s="410"/>
      <c r="C15" s="2"/>
      <c r="D15" s="147"/>
      <c r="E15" s="145">
        <v>-99</v>
      </c>
      <c r="F15" s="146" t="s">
        <v>266</v>
      </c>
      <c r="G15" s="622"/>
      <c r="H15" s="141"/>
      <c r="I15" s="136"/>
      <c r="K15" s="136"/>
      <c r="L15" s="136"/>
      <c r="M15" s="136"/>
      <c r="N15" s="136"/>
      <c r="O15" s="136"/>
    </row>
    <row r="16" spans="1:15" ht="15" customHeight="1" x14ac:dyDescent="0.35">
      <c r="A16" s="370"/>
      <c r="B16" s="148"/>
      <c r="C16" s="81"/>
      <c r="D16" s="81"/>
      <c r="E16" s="142"/>
      <c r="F16" s="149"/>
      <c r="G16" s="150"/>
    </row>
    <row r="17" spans="1:15" ht="36.75" customHeight="1" x14ac:dyDescent="0.35">
      <c r="A17" s="370"/>
      <c r="B17" s="642" t="s">
        <v>273</v>
      </c>
      <c r="C17" s="643"/>
      <c r="D17" s="643"/>
      <c r="E17" s="643"/>
      <c r="F17" s="643"/>
      <c r="G17" s="644"/>
    </row>
    <row r="18" spans="1:15" ht="40.5" customHeight="1" x14ac:dyDescent="0.35">
      <c r="A18" s="370"/>
      <c r="B18" s="368"/>
      <c r="C18" s="293"/>
      <c r="D18" s="645" t="s">
        <v>274</v>
      </c>
      <c r="E18" s="646"/>
      <c r="F18" s="647"/>
      <c r="G18" s="294" t="s">
        <v>275</v>
      </c>
      <c r="H18" s="648" t="s">
        <v>257</v>
      </c>
      <c r="I18" s="649"/>
    </row>
    <row r="19" spans="1:15" ht="15" customHeight="1" x14ac:dyDescent="0.35">
      <c r="A19" s="354" t="s">
        <v>846</v>
      </c>
      <c r="B19" s="408" t="s">
        <v>261</v>
      </c>
      <c r="C19" s="22">
        <f>C12+1</f>
        <v>4</v>
      </c>
      <c r="D19" s="452" t="s">
        <v>276</v>
      </c>
      <c r="E19" s="8">
        <v>1</v>
      </c>
      <c r="F19" s="97" t="s">
        <v>29</v>
      </c>
      <c r="G19" s="621" t="s">
        <v>263</v>
      </c>
      <c r="H19" s="295"/>
      <c r="I19" s="296"/>
      <c r="J19" s="135" t="s">
        <v>277</v>
      </c>
      <c r="L19" s="136"/>
      <c r="M19" s="136"/>
      <c r="N19" s="136"/>
      <c r="O19" s="136"/>
    </row>
    <row r="20" spans="1:15" x14ac:dyDescent="0.35">
      <c r="A20" s="354" t="s">
        <v>278</v>
      </c>
      <c r="B20" s="409"/>
      <c r="C20" s="22"/>
      <c r="D20" s="452"/>
      <c r="E20" s="8">
        <v>2</v>
      </c>
      <c r="F20" s="97" t="s">
        <v>26</v>
      </c>
      <c r="G20" s="621"/>
      <c r="H20" s="297"/>
      <c r="I20" s="298"/>
      <c r="J20" s="135" t="s">
        <v>278</v>
      </c>
      <c r="L20" s="136"/>
      <c r="M20" s="136"/>
      <c r="N20" s="136"/>
      <c r="O20" s="136"/>
    </row>
    <row r="21" spans="1:15" x14ac:dyDescent="0.35">
      <c r="A21" s="370"/>
      <c r="B21" s="409"/>
      <c r="C21" s="22"/>
      <c r="D21" s="452"/>
      <c r="E21" s="142">
        <v>-88</v>
      </c>
      <c r="F21" s="143" t="s">
        <v>103</v>
      </c>
      <c r="G21" s="621"/>
      <c r="H21" s="297"/>
      <c r="I21" s="298"/>
      <c r="L21" s="136"/>
      <c r="M21" s="136"/>
      <c r="N21" s="136"/>
      <c r="O21" s="136"/>
    </row>
    <row r="22" spans="1:15" x14ac:dyDescent="0.35">
      <c r="A22" s="370"/>
      <c r="B22" s="409"/>
      <c r="C22" s="22"/>
      <c r="D22" s="452"/>
      <c r="E22" s="142">
        <v>-99</v>
      </c>
      <c r="F22" s="143" t="s">
        <v>266</v>
      </c>
      <c r="G22" s="621"/>
      <c r="H22" s="297"/>
      <c r="I22" s="298"/>
      <c r="L22" s="136"/>
      <c r="M22" s="136"/>
      <c r="N22" s="136"/>
      <c r="O22" s="136"/>
    </row>
    <row r="23" spans="1:15" ht="15" customHeight="1" x14ac:dyDescent="0.35">
      <c r="A23" s="354" t="s">
        <v>847</v>
      </c>
      <c r="B23" s="408" t="s">
        <v>261</v>
      </c>
      <c r="C23" s="20">
        <f>C19+1</f>
        <v>5</v>
      </c>
      <c r="D23" s="462" t="s">
        <v>279</v>
      </c>
      <c r="E23" s="5">
        <v>1</v>
      </c>
      <c r="F23" s="96" t="s">
        <v>29</v>
      </c>
      <c r="G23" s="620" t="s">
        <v>263</v>
      </c>
      <c r="H23" s="297"/>
      <c r="I23" s="298"/>
      <c r="J23" s="135" t="s">
        <v>280</v>
      </c>
      <c r="L23" s="136"/>
      <c r="M23" s="136"/>
      <c r="N23" s="136"/>
      <c r="O23" s="136"/>
    </row>
    <row r="24" spans="1:15" ht="15" customHeight="1" x14ac:dyDescent="0.35">
      <c r="A24" s="354" t="s">
        <v>281</v>
      </c>
      <c r="B24" s="409"/>
      <c r="C24" s="22"/>
      <c r="D24" s="452"/>
      <c r="E24" s="8">
        <v>2</v>
      </c>
      <c r="F24" s="97" t="s">
        <v>26</v>
      </c>
      <c r="G24" s="621"/>
      <c r="H24" s="297"/>
      <c r="I24" s="298"/>
      <c r="J24" s="135" t="s">
        <v>281</v>
      </c>
      <c r="L24" s="136"/>
      <c r="M24" s="136"/>
      <c r="N24" s="136"/>
      <c r="O24" s="136"/>
    </row>
    <row r="25" spans="1:15" ht="15" customHeight="1" x14ac:dyDescent="0.35">
      <c r="A25" s="370"/>
      <c r="B25" s="409"/>
      <c r="C25" s="22"/>
      <c r="D25" s="452"/>
      <c r="E25" s="142">
        <v>-88</v>
      </c>
      <c r="F25" s="143" t="s">
        <v>103</v>
      </c>
      <c r="G25" s="621"/>
      <c r="H25" s="297"/>
      <c r="I25" s="298"/>
      <c r="K25" s="388"/>
      <c r="L25" s="136"/>
      <c r="M25" s="136"/>
      <c r="N25" s="136"/>
      <c r="O25" s="136"/>
    </row>
    <row r="26" spans="1:15" ht="15" customHeight="1" x14ac:dyDescent="0.35">
      <c r="A26" s="370"/>
      <c r="B26" s="410"/>
      <c r="C26" s="2"/>
      <c r="D26" s="455"/>
      <c r="E26" s="145">
        <v>-99</v>
      </c>
      <c r="F26" s="146" t="s">
        <v>266</v>
      </c>
      <c r="G26" s="622"/>
      <c r="H26" s="297"/>
      <c r="I26" s="298"/>
      <c r="L26" s="136"/>
      <c r="M26" s="136"/>
      <c r="N26" s="136"/>
      <c r="O26" s="136"/>
    </row>
    <row r="27" spans="1:15" x14ac:dyDescent="0.35">
      <c r="A27" s="354" t="s">
        <v>283</v>
      </c>
      <c r="B27" s="408" t="s">
        <v>261</v>
      </c>
      <c r="C27" s="20">
        <f>C23+1</f>
        <v>6</v>
      </c>
      <c r="D27" s="458" t="s">
        <v>282</v>
      </c>
      <c r="E27" s="5">
        <v>1</v>
      </c>
      <c r="F27" s="96" t="s">
        <v>29</v>
      </c>
      <c r="G27" s="620" t="s">
        <v>263</v>
      </c>
      <c r="J27" s="135" t="s">
        <v>283</v>
      </c>
    </row>
    <row r="28" spans="1:15" ht="15" customHeight="1" x14ac:dyDescent="0.35">
      <c r="A28" s="354" t="s">
        <v>848</v>
      </c>
      <c r="B28" s="409"/>
      <c r="C28" s="22"/>
      <c r="D28" s="454"/>
      <c r="E28" s="8">
        <v>2</v>
      </c>
      <c r="F28" s="97" t="s">
        <v>26</v>
      </c>
      <c r="G28" s="621"/>
      <c r="I28" s="136"/>
      <c r="L28" s="136"/>
      <c r="M28" s="136"/>
      <c r="N28" s="136"/>
      <c r="O28" s="136"/>
    </row>
    <row r="29" spans="1:15" x14ac:dyDescent="0.35">
      <c r="A29" s="370"/>
      <c r="B29" s="409"/>
      <c r="C29" s="22"/>
      <c r="D29" s="454"/>
      <c r="E29" s="142">
        <v>-88</v>
      </c>
      <c r="F29" s="143" t="s">
        <v>103</v>
      </c>
      <c r="G29" s="621"/>
    </row>
    <row r="30" spans="1:15" ht="51.75" customHeight="1" x14ac:dyDescent="0.35">
      <c r="A30" s="370"/>
      <c r="B30" s="409"/>
      <c r="C30" s="22"/>
      <c r="D30" s="144"/>
      <c r="E30" s="142">
        <v>-99</v>
      </c>
      <c r="F30" s="143" t="s">
        <v>266</v>
      </c>
      <c r="G30" s="621"/>
    </row>
    <row r="31" spans="1:15" ht="15" customHeight="1" x14ac:dyDescent="0.35">
      <c r="A31" s="354" t="s">
        <v>849</v>
      </c>
      <c r="B31" s="408" t="s">
        <v>261</v>
      </c>
      <c r="C31" s="20">
        <f>C27+1</f>
        <v>7</v>
      </c>
      <c r="D31" s="151" t="s">
        <v>284</v>
      </c>
      <c r="E31" s="5">
        <v>1</v>
      </c>
      <c r="F31" s="96" t="s">
        <v>29</v>
      </c>
      <c r="G31" s="620" t="s">
        <v>263</v>
      </c>
      <c r="I31" s="136"/>
      <c r="J31" s="135" t="s">
        <v>285</v>
      </c>
      <c r="L31" s="136"/>
      <c r="M31" s="136"/>
      <c r="N31" s="136"/>
      <c r="O31" s="136"/>
    </row>
    <row r="32" spans="1:15" ht="15" customHeight="1" x14ac:dyDescent="0.35">
      <c r="A32" s="354" t="s">
        <v>850</v>
      </c>
      <c r="B32" s="409"/>
      <c r="C32" s="22"/>
      <c r="D32" s="144"/>
      <c r="E32" s="8">
        <v>2</v>
      </c>
      <c r="F32" s="97" t="s">
        <v>26</v>
      </c>
      <c r="G32" s="621"/>
      <c r="I32" s="136"/>
      <c r="L32" s="136"/>
      <c r="M32" s="136"/>
      <c r="N32" s="136"/>
      <c r="O32" s="136"/>
    </row>
    <row r="33" spans="1:15" ht="15" customHeight="1" x14ac:dyDescent="0.35">
      <c r="A33" s="370"/>
      <c r="B33" s="409"/>
      <c r="C33" s="22"/>
      <c r="D33" s="144"/>
      <c r="E33" s="142">
        <v>-88</v>
      </c>
      <c r="F33" s="143" t="s">
        <v>103</v>
      </c>
      <c r="G33" s="621"/>
      <c r="I33" s="136"/>
      <c r="L33" s="136"/>
      <c r="M33" s="136"/>
      <c r="N33" s="136"/>
      <c r="O33" s="136"/>
    </row>
    <row r="34" spans="1:15" ht="44.25" customHeight="1" x14ac:dyDescent="0.35">
      <c r="A34" s="370"/>
      <c r="B34" s="410"/>
      <c r="C34" s="2"/>
      <c r="D34" s="147"/>
      <c r="E34" s="145">
        <v>-99</v>
      </c>
      <c r="F34" s="146" t="s">
        <v>266</v>
      </c>
      <c r="G34" s="622"/>
      <c r="I34" s="136"/>
      <c r="L34" s="136"/>
      <c r="M34" s="136"/>
      <c r="N34" s="136"/>
      <c r="O34" s="136"/>
    </row>
    <row r="35" spans="1:15" x14ac:dyDescent="0.35">
      <c r="A35" s="354" t="s">
        <v>287</v>
      </c>
      <c r="B35" s="408" t="s">
        <v>261</v>
      </c>
      <c r="C35" s="20">
        <f>C31+1</f>
        <v>8</v>
      </c>
      <c r="D35" s="458" t="s">
        <v>286</v>
      </c>
      <c r="E35" s="5">
        <v>1</v>
      </c>
      <c r="F35" s="96" t="s">
        <v>29</v>
      </c>
      <c r="G35" s="620" t="s">
        <v>263</v>
      </c>
      <c r="J35" s="135" t="s">
        <v>287</v>
      </c>
    </row>
    <row r="36" spans="1:15" x14ac:dyDescent="0.35">
      <c r="A36" s="354" t="s">
        <v>851</v>
      </c>
      <c r="B36" s="409"/>
      <c r="C36" s="22"/>
      <c r="D36" s="454"/>
      <c r="E36" s="8">
        <v>2</v>
      </c>
      <c r="F36" s="97" t="s">
        <v>26</v>
      </c>
      <c r="G36" s="621"/>
    </row>
    <row r="37" spans="1:15" x14ac:dyDescent="0.35">
      <c r="A37" s="370"/>
      <c r="B37" s="409"/>
      <c r="C37" s="22"/>
      <c r="D37" s="454"/>
      <c r="E37" s="142">
        <v>-88</v>
      </c>
      <c r="F37" s="143" t="s">
        <v>103</v>
      </c>
      <c r="G37" s="621"/>
      <c r="I37" s="136"/>
      <c r="L37" s="136"/>
      <c r="M37" s="136"/>
      <c r="N37" s="136"/>
      <c r="O37" s="136"/>
    </row>
    <row r="38" spans="1:15" x14ac:dyDescent="0.35">
      <c r="A38" s="370"/>
      <c r="B38" s="409"/>
      <c r="C38" s="22"/>
      <c r="D38" s="144"/>
      <c r="E38" s="145">
        <v>-99</v>
      </c>
      <c r="F38" s="146" t="s">
        <v>266</v>
      </c>
      <c r="G38" s="621"/>
    </row>
    <row r="39" spans="1:15" x14ac:dyDescent="0.35">
      <c r="A39" s="354" t="s">
        <v>289</v>
      </c>
      <c r="B39" s="409" t="s">
        <v>261</v>
      </c>
      <c r="C39" s="20">
        <f>C35+1</f>
        <v>9</v>
      </c>
      <c r="D39" s="458" t="s">
        <v>288</v>
      </c>
      <c r="E39" s="5">
        <v>1</v>
      </c>
      <c r="F39" s="96" t="s">
        <v>29</v>
      </c>
      <c r="G39" s="620" t="s">
        <v>263</v>
      </c>
      <c r="I39" s="136"/>
      <c r="J39" s="135" t="s">
        <v>289</v>
      </c>
      <c r="L39" s="136"/>
      <c r="M39" s="136"/>
      <c r="N39" s="136"/>
      <c r="O39" s="136"/>
    </row>
    <row r="40" spans="1:15" ht="15" customHeight="1" x14ac:dyDescent="0.35">
      <c r="A40" s="354" t="s">
        <v>852</v>
      </c>
      <c r="B40" s="409"/>
      <c r="C40" s="22"/>
      <c r="D40" s="454"/>
      <c r="E40" s="8">
        <v>2</v>
      </c>
      <c r="F40" s="97" t="s">
        <v>26</v>
      </c>
      <c r="G40" s="621"/>
    </row>
    <row r="41" spans="1:15" x14ac:dyDescent="0.35">
      <c r="A41" s="370"/>
      <c r="B41" s="409"/>
      <c r="C41" s="22"/>
      <c r="D41" s="144"/>
      <c r="E41" s="142">
        <v>-88</v>
      </c>
      <c r="F41" s="143" t="s">
        <v>103</v>
      </c>
      <c r="G41" s="621"/>
    </row>
    <row r="42" spans="1:15" x14ac:dyDescent="0.35">
      <c r="A42" s="370"/>
      <c r="B42" s="409"/>
      <c r="C42" s="22"/>
      <c r="D42" s="144"/>
      <c r="E42" s="142">
        <v>-99</v>
      </c>
      <c r="F42" s="143" t="s">
        <v>266</v>
      </c>
      <c r="G42" s="621"/>
      <c r="I42" s="136"/>
      <c r="L42" s="136"/>
      <c r="M42" s="136"/>
      <c r="N42" s="136"/>
      <c r="O42" s="136"/>
    </row>
    <row r="43" spans="1:15" x14ac:dyDescent="0.35">
      <c r="A43" s="354" t="s">
        <v>291</v>
      </c>
      <c r="B43" s="408" t="s">
        <v>261</v>
      </c>
      <c r="C43" s="20">
        <f>C39+1</f>
        <v>10</v>
      </c>
      <c r="D43" s="458" t="s">
        <v>290</v>
      </c>
      <c r="E43" s="5">
        <v>1</v>
      </c>
      <c r="F43" s="96" t="s">
        <v>29</v>
      </c>
      <c r="G43" s="620" t="s">
        <v>263</v>
      </c>
      <c r="I43" s="136"/>
      <c r="J43" s="135" t="s">
        <v>291</v>
      </c>
      <c r="L43" s="136"/>
      <c r="M43" s="136"/>
      <c r="N43" s="136"/>
      <c r="O43" s="136"/>
    </row>
    <row r="44" spans="1:15" x14ac:dyDescent="0.35">
      <c r="A44" s="354" t="s">
        <v>853</v>
      </c>
      <c r="B44" s="409"/>
      <c r="C44" s="22"/>
      <c r="D44" s="454"/>
      <c r="E44" s="8">
        <v>2</v>
      </c>
      <c r="F44" s="97" t="s">
        <v>26</v>
      </c>
      <c r="G44" s="621"/>
    </row>
    <row r="45" spans="1:15" x14ac:dyDescent="0.35">
      <c r="A45" s="370"/>
      <c r="B45" s="409"/>
      <c r="C45" s="22"/>
      <c r="D45" s="144"/>
      <c r="E45" s="142">
        <v>-77</v>
      </c>
      <c r="F45" s="149" t="s">
        <v>292</v>
      </c>
      <c r="G45" s="621"/>
    </row>
    <row r="46" spans="1:15" x14ac:dyDescent="0.35">
      <c r="A46" s="370"/>
      <c r="B46" s="409"/>
      <c r="C46" s="22"/>
      <c r="D46" s="152"/>
      <c r="E46" s="142">
        <v>-88</v>
      </c>
      <c r="F46" s="143" t="s">
        <v>103</v>
      </c>
      <c r="G46" s="621"/>
    </row>
    <row r="47" spans="1:15" ht="15" customHeight="1" x14ac:dyDescent="0.35">
      <c r="A47" s="370"/>
      <c r="B47" s="410"/>
      <c r="C47" s="2"/>
      <c r="D47" s="147"/>
      <c r="E47" s="145">
        <v>-99</v>
      </c>
      <c r="F47" s="146" t="s">
        <v>266</v>
      </c>
      <c r="G47" s="622"/>
      <c r="I47" s="136"/>
      <c r="L47" s="136"/>
      <c r="M47" s="136"/>
      <c r="N47" s="136"/>
      <c r="O47" s="136"/>
    </row>
    <row r="48" spans="1:15" ht="15" customHeight="1" x14ac:dyDescent="0.35">
      <c r="A48" s="354" t="s">
        <v>293</v>
      </c>
      <c r="B48" s="408" t="s">
        <v>261</v>
      </c>
      <c r="C48" s="116">
        <f>C43+1</f>
        <v>11</v>
      </c>
      <c r="D48" s="24" t="s">
        <v>960</v>
      </c>
      <c r="E48" s="5">
        <v>1</v>
      </c>
      <c r="F48" s="96" t="s">
        <v>29</v>
      </c>
      <c r="G48" s="620" t="s">
        <v>263</v>
      </c>
      <c r="J48" s="135" t="s">
        <v>293</v>
      </c>
    </row>
    <row r="49" spans="1:15" ht="22" x14ac:dyDescent="0.35">
      <c r="A49" s="354" t="s">
        <v>854</v>
      </c>
      <c r="B49" s="409"/>
      <c r="C49" s="81"/>
      <c r="D49" s="153"/>
      <c r="E49" s="8">
        <v>2</v>
      </c>
      <c r="F49" s="97" t="s">
        <v>26</v>
      </c>
      <c r="G49" s="621"/>
    </row>
    <row r="50" spans="1:15" x14ac:dyDescent="0.35">
      <c r="A50" s="370"/>
      <c r="B50" s="409"/>
      <c r="C50" s="81"/>
      <c r="D50" s="27"/>
      <c r="E50" s="142">
        <v>-88</v>
      </c>
      <c r="F50" s="143" t="s">
        <v>103</v>
      </c>
      <c r="G50" s="621"/>
      <c r="I50" s="136"/>
      <c r="L50" s="136"/>
      <c r="M50" s="136"/>
      <c r="N50" s="136"/>
      <c r="O50" s="136"/>
    </row>
    <row r="51" spans="1:15" x14ac:dyDescent="0.35">
      <c r="A51" s="370"/>
      <c r="B51" s="409"/>
      <c r="C51" s="81"/>
      <c r="D51" s="27"/>
      <c r="E51" s="145">
        <v>-99</v>
      </c>
      <c r="F51" s="146" t="s">
        <v>266</v>
      </c>
      <c r="G51" s="621"/>
    </row>
    <row r="52" spans="1:15" x14ac:dyDescent="0.35">
      <c r="A52" s="354" t="s">
        <v>295</v>
      </c>
      <c r="B52" s="408" t="s">
        <v>261</v>
      </c>
      <c r="C52" s="20">
        <f>C48+1</f>
        <v>12</v>
      </c>
      <c r="D52" s="458" t="s">
        <v>294</v>
      </c>
      <c r="E52" s="5">
        <v>1</v>
      </c>
      <c r="F52" s="96" t="s">
        <v>29</v>
      </c>
      <c r="G52" s="620" t="s">
        <v>263</v>
      </c>
      <c r="I52" s="136"/>
      <c r="J52" s="135" t="s">
        <v>295</v>
      </c>
      <c r="L52" s="136"/>
      <c r="M52" s="136"/>
      <c r="N52" s="136"/>
      <c r="O52" s="136"/>
    </row>
    <row r="53" spans="1:15" ht="22" x14ac:dyDescent="0.35">
      <c r="A53" s="354" t="s">
        <v>855</v>
      </c>
      <c r="B53" s="409"/>
      <c r="C53" s="22"/>
      <c r="D53" s="454"/>
      <c r="E53" s="8">
        <v>2</v>
      </c>
      <c r="F53" s="97" t="s">
        <v>26</v>
      </c>
      <c r="G53" s="621"/>
      <c r="I53" s="136"/>
    </row>
    <row r="54" spans="1:15" ht="16.5" customHeight="1" x14ac:dyDescent="0.35">
      <c r="A54" s="370"/>
      <c r="B54" s="409"/>
      <c r="C54" s="22"/>
      <c r="D54" s="144"/>
      <c r="E54" s="142">
        <v>-88</v>
      </c>
      <c r="F54" s="143" t="s">
        <v>103</v>
      </c>
      <c r="G54" s="621"/>
      <c r="I54" s="136"/>
    </row>
    <row r="55" spans="1:15" x14ac:dyDescent="0.35">
      <c r="A55" s="370"/>
      <c r="B55" s="409"/>
      <c r="C55" s="22"/>
      <c r="D55" s="144"/>
      <c r="E55" s="142">
        <v>-99</v>
      </c>
      <c r="F55" s="143" t="s">
        <v>266</v>
      </c>
      <c r="G55" s="621"/>
      <c r="I55" s="136"/>
      <c r="L55" s="136"/>
      <c r="M55" s="136"/>
      <c r="N55" s="136"/>
      <c r="O55" s="136"/>
    </row>
    <row r="56" spans="1:15" x14ac:dyDescent="0.35">
      <c r="A56" s="354" t="s">
        <v>297</v>
      </c>
      <c r="B56" s="408" t="s">
        <v>261</v>
      </c>
      <c r="C56" s="20">
        <f>C52+1</f>
        <v>13</v>
      </c>
      <c r="D56" s="151" t="s">
        <v>296</v>
      </c>
      <c r="E56" s="5">
        <v>1</v>
      </c>
      <c r="F56" s="96" t="s">
        <v>29</v>
      </c>
      <c r="G56" s="620" t="s">
        <v>263</v>
      </c>
      <c r="I56" s="136"/>
      <c r="J56" s="135" t="s">
        <v>297</v>
      </c>
      <c r="L56" s="136"/>
      <c r="M56" s="136"/>
      <c r="N56" s="136"/>
      <c r="O56" s="136"/>
    </row>
    <row r="57" spans="1:15" ht="22" x14ac:dyDescent="0.35">
      <c r="A57" s="354" t="s">
        <v>856</v>
      </c>
      <c r="B57" s="409"/>
      <c r="C57" s="22"/>
      <c r="D57" s="144"/>
      <c r="E57" s="8">
        <v>2</v>
      </c>
      <c r="F57" s="97" t="s">
        <v>26</v>
      </c>
      <c r="G57" s="621"/>
    </row>
    <row r="58" spans="1:15" x14ac:dyDescent="0.35">
      <c r="A58" s="370"/>
      <c r="B58" s="409"/>
      <c r="C58" s="22"/>
      <c r="D58" s="144"/>
      <c r="E58" s="142">
        <v>-88</v>
      </c>
      <c r="F58" s="143" t="s">
        <v>103</v>
      </c>
      <c r="G58" s="621"/>
    </row>
    <row r="59" spans="1:15" x14ac:dyDescent="0.35">
      <c r="A59" s="370"/>
      <c r="B59" s="410"/>
      <c r="C59" s="2"/>
      <c r="D59" s="147"/>
      <c r="E59" s="145">
        <v>-99</v>
      </c>
      <c r="F59" s="146" t="s">
        <v>266</v>
      </c>
      <c r="G59" s="622"/>
      <c r="I59" s="136"/>
      <c r="L59" s="136"/>
      <c r="M59" s="136"/>
      <c r="N59" s="136"/>
      <c r="O59" s="136"/>
    </row>
    <row r="60" spans="1:15" x14ac:dyDescent="0.35">
      <c r="A60" s="354" t="s">
        <v>298</v>
      </c>
      <c r="B60" s="408" t="s">
        <v>261</v>
      </c>
      <c r="C60" s="20">
        <f>C56+1</f>
        <v>14</v>
      </c>
      <c r="D60" s="458" t="s">
        <v>961</v>
      </c>
      <c r="E60" s="154">
        <v>1</v>
      </c>
      <c r="F60" s="155" t="s">
        <v>29</v>
      </c>
      <c r="G60" s="620" t="s">
        <v>263</v>
      </c>
      <c r="I60" s="136"/>
      <c r="J60" s="135" t="s">
        <v>298</v>
      </c>
      <c r="L60" s="136"/>
      <c r="M60" s="136"/>
      <c r="N60" s="136"/>
      <c r="O60" s="136"/>
    </row>
    <row r="61" spans="1:15" ht="22" x14ac:dyDescent="0.35">
      <c r="A61" s="354" t="s">
        <v>857</v>
      </c>
      <c r="B61" s="409"/>
      <c r="C61" s="22"/>
      <c r="D61" s="454"/>
      <c r="E61" s="156">
        <v>2</v>
      </c>
      <c r="F61" s="157" t="s">
        <v>26</v>
      </c>
      <c r="G61" s="621"/>
    </row>
    <row r="62" spans="1:15" x14ac:dyDescent="0.35">
      <c r="A62" s="370"/>
      <c r="B62" s="409"/>
      <c r="C62" s="22"/>
      <c r="D62" s="454"/>
      <c r="E62" s="158">
        <v>-88</v>
      </c>
      <c r="F62" s="157" t="s">
        <v>103</v>
      </c>
      <c r="G62" s="621"/>
    </row>
    <row r="63" spans="1:15" ht="33" customHeight="1" x14ac:dyDescent="0.35">
      <c r="A63" s="370"/>
      <c r="B63" s="409"/>
      <c r="C63" s="22"/>
      <c r="D63" s="454"/>
      <c r="E63" s="159">
        <v>-99</v>
      </c>
      <c r="F63" s="160" t="s">
        <v>266</v>
      </c>
      <c r="G63" s="621"/>
      <c r="I63" s="136"/>
      <c r="L63" s="136"/>
      <c r="M63" s="136"/>
      <c r="N63" s="136"/>
      <c r="O63" s="136"/>
    </row>
    <row r="64" spans="1:15" ht="22" x14ac:dyDescent="0.35">
      <c r="A64" s="354" t="s">
        <v>299</v>
      </c>
      <c r="B64" s="408" t="s">
        <v>261</v>
      </c>
      <c r="C64" s="20">
        <f>C60+1</f>
        <v>15</v>
      </c>
      <c r="D64" s="458" t="s">
        <v>962</v>
      </c>
      <c r="E64" s="5">
        <v>1</v>
      </c>
      <c r="F64" s="96" t="s">
        <v>29</v>
      </c>
      <c r="G64" s="620" t="s">
        <v>263</v>
      </c>
      <c r="I64" s="136"/>
      <c r="J64" s="135" t="s">
        <v>299</v>
      </c>
      <c r="L64" s="136"/>
      <c r="M64" s="136"/>
      <c r="N64" s="136"/>
      <c r="O64" s="136"/>
    </row>
    <row r="65" spans="1:15" ht="22" x14ac:dyDescent="0.35">
      <c r="A65" s="354" t="s">
        <v>858</v>
      </c>
      <c r="B65" s="409"/>
      <c r="C65" s="22"/>
      <c r="D65" s="454"/>
      <c r="E65" s="8">
        <v>2</v>
      </c>
      <c r="F65" s="97" t="s">
        <v>26</v>
      </c>
      <c r="G65" s="621"/>
    </row>
    <row r="66" spans="1:15" x14ac:dyDescent="0.35">
      <c r="A66" s="370"/>
      <c r="B66" s="409"/>
      <c r="C66" s="22"/>
      <c r="D66" s="454"/>
      <c r="E66" s="142">
        <v>-88</v>
      </c>
      <c r="F66" s="143" t="s">
        <v>103</v>
      </c>
      <c r="G66" s="621"/>
    </row>
    <row r="67" spans="1:15" x14ac:dyDescent="0.35">
      <c r="A67" s="370"/>
      <c r="B67" s="410"/>
      <c r="C67" s="2"/>
      <c r="D67" s="144"/>
      <c r="E67" s="145">
        <v>-99</v>
      </c>
      <c r="F67" s="146" t="s">
        <v>266</v>
      </c>
      <c r="G67" s="621"/>
      <c r="I67" s="136"/>
      <c r="L67" s="136"/>
      <c r="M67" s="136"/>
      <c r="N67" s="136"/>
      <c r="O67" s="136"/>
    </row>
    <row r="68" spans="1:15" ht="22" x14ac:dyDescent="0.35">
      <c r="A68" s="354" t="s">
        <v>301</v>
      </c>
      <c r="B68" s="409" t="s">
        <v>261</v>
      </c>
      <c r="C68" s="22">
        <v>16</v>
      </c>
      <c r="D68" s="458" t="s">
        <v>300</v>
      </c>
      <c r="E68" s="5">
        <v>1</v>
      </c>
      <c r="F68" s="96" t="s">
        <v>29</v>
      </c>
      <c r="G68" s="620" t="s">
        <v>263</v>
      </c>
      <c r="J68" s="135" t="s">
        <v>301</v>
      </c>
    </row>
    <row r="69" spans="1:15" ht="22" x14ac:dyDescent="0.35">
      <c r="A69" s="354" t="s">
        <v>859</v>
      </c>
      <c r="B69" s="409"/>
      <c r="C69" s="22"/>
      <c r="D69" s="454"/>
      <c r="E69" s="8">
        <v>2</v>
      </c>
      <c r="F69" s="97" t="s">
        <v>26</v>
      </c>
      <c r="G69" s="621"/>
    </row>
    <row r="70" spans="1:15" x14ac:dyDescent="0.35">
      <c r="A70" s="370"/>
      <c r="B70" s="409"/>
      <c r="C70" s="22"/>
      <c r="D70" s="454"/>
      <c r="E70" s="142">
        <v>-88</v>
      </c>
      <c r="F70" s="143" t="s">
        <v>103</v>
      </c>
      <c r="G70" s="621"/>
      <c r="I70" s="136"/>
      <c r="L70" s="136"/>
      <c r="M70" s="136"/>
      <c r="N70" s="136"/>
      <c r="O70" s="136"/>
    </row>
    <row r="71" spans="1:15" x14ac:dyDescent="0.35">
      <c r="A71" s="370"/>
      <c r="B71" s="409"/>
      <c r="C71" s="22"/>
      <c r="D71" s="454"/>
      <c r="E71" s="145">
        <v>-99</v>
      </c>
      <c r="F71" s="146" t="s">
        <v>266</v>
      </c>
      <c r="G71" s="621"/>
    </row>
    <row r="72" spans="1:15" ht="15" customHeight="1" x14ac:dyDescent="0.35">
      <c r="A72" s="354" t="s">
        <v>303</v>
      </c>
      <c r="B72" s="408" t="s">
        <v>261</v>
      </c>
      <c r="C72" s="20">
        <f>C68+1</f>
        <v>17</v>
      </c>
      <c r="D72" s="641" t="s">
        <v>302</v>
      </c>
      <c r="E72" s="5">
        <v>1</v>
      </c>
      <c r="F72" s="96" t="s">
        <v>29</v>
      </c>
      <c r="G72" s="620" t="s">
        <v>263</v>
      </c>
      <c r="J72" s="135" t="s">
        <v>303</v>
      </c>
    </row>
    <row r="73" spans="1:15" ht="22" x14ac:dyDescent="0.35">
      <c r="A73" s="354" t="s">
        <v>860</v>
      </c>
      <c r="B73" s="409"/>
      <c r="C73" s="22"/>
      <c r="D73" s="640"/>
      <c r="E73" s="8">
        <v>2</v>
      </c>
      <c r="F73" s="97" t="s">
        <v>26</v>
      </c>
      <c r="G73" s="621"/>
    </row>
    <row r="74" spans="1:15" x14ac:dyDescent="0.35">
      <c r="A74" s="370"/>
      <c r="B74" s="409"/>
      <c r="C74" s="22"/>
      <c r="D74" s="640"/>
      <c r="E74" s="142">
        <v>-88</v>
      </c>
      <c r="F74" s="143" t="s">
        <v>103</v>
      </c>
      <c r="G74" s="621"/>
      <c r="I74" s="136"/>
      <c r="L74" s="136"/>
      <c r="M74" s="136"/>
      <c r="N74" s="136"/>
      <c r="O74" s="136"/>
    </row>
    <row r="75" spans="1:15" x14ac:dyDescent="0.35">
      <c r="A75" s="370"/>
      <c r="B75" s="409"/>
      <c r="C75" s="22"/>
      <c r="D75" s="144"/>
      <c r="E75" s="145">
        <v>-99</v>
      </c>
      <c r="F75" s="146" t="s">
        <v>266</v>
      </c>
      <c r="G75" s="622"/>
    </row>
    <row r="76" spans="1:15" ht="22" x14ac:dyDescent="0.35">
      <c r="A76" s="354" t="s">
        <v>304</v>
      </c>
      <c r="B76" s="408" t="s">
        <v>261</v>
      </c>
      <c r="C76" s="20">
        <f>C72+1</f>
        <v>18</v>
      </c>
      <c r="D76" s="458" t="s">
        <v>963</v>
      </c>
      <c r="E76" s="5">
        <v>1</v>
      </c>
      <c r="F76" s="96" t="s">
        <v>29</v>
      </c>
      <c r="G76" s="620" t="s">
        <v>263</v>
      </c>
      <c r="I76" s="136"/>
      <c r="J76" s="135" t="s">
        <v>304</v>
      </c>
      <c r="L76" s="136"/>
      <c r="M76" s="136"/>
      <c r="N76" s="136"/>
      <c r="O76" s="136"/>
    </row>
    <row r="77" spans="1:15" ht="22" x14ac:dyDescent="0.35">
      <c r="A77" s="354" t="s">
        <v>861</v>
      </c>
      <c r="B77" s="409"/>
      <c r="C77" s="22"/>
      <c r="D77" s="454"/>
      <c r="E77" s="8">
        <v>2</v>
      </c>
      <c r="F77" s="97" t="s">
        <v>26</v>
      </c>
      <c r="G77" s="621"/>
      <c r="I77" s="136"/>
      <c r="L77" s="136"/>
      <c r="M77" s="136"/>
      <c r="N77" s="136"/>
      <c r="O77" s="136"/>
    </row>
    <row r="78" spans="1:15" x14ac:dyDescent="0.35">
      <c r="A78" s="370"/>
      <c r="B78" s="409"/>
      <c r="C78" s="22"/>
      <c r="D78" s="144"/>
      <c r="E78" s="142">
        <v>-88</v>
      </c>
      <c r="F78" s="143" t="s">
        <v>103</v>
      </c>
      <c r="G78" s="621"/>
      <c r="I78" s="136"/>
      <c r="L78" s="136"/>
      <c r="M78" s="136"/>
      <c r="N78" s="136"/>
      <c r="O78" s="136"/>
    </row>
    <row r="79" spans="1:15" ht="26.25" customHeight="1" x14ac:dyDescent="0.35">
      <c r="A79" s="370"/>
      <c r="B79" s="409"/>
      <c r="C79" s="22"/>
      <c r="D79" s="144"/>
      <c r="E79" s="145">
        <v>-99</v>
      </c>
      <c r="F79" s="146" t="s">
        <v>266</v>
      </c>
      <c r="G79" s="622"/>
      <c r="I79" s="136"/>
      <c r="L79" s="136"/>
      <c r="M79" s="136"/>
      <c r="N79" s="136"/>
      <c r="O79" s="136"/>
    </row>
    <row r="80" spans="1:15" ht="13.5" customHeight="1" x14ac:dyDescent="0.35">
      <c r="A80" s="354" t="s">
        <v>306</v>
      </c>
      <c r="B80" s="408" t="s">
        <v>261</v>
      </c>
      <c r="C80" s="20">
        <f>C76+1</f>
        <v>19</v>
      </c>
      <c r="D80" s="458" t="s">
        <v>305</v>
      </c>
      <c r="E80" s="5">
        <v>1</v>
      </c>
      <c r="F80" s="96" t="s">
        <v>29</v>
      </c>
      <c r="G80" s="620" t="s">
        <v>263</v>
      </c>
      <c r="I80" s="136"/>
      <c r="J80" s="135" t="s">
        <v>306</v>
      </c>
      <c r="L80" s="136"/>
      <c r="M80" s="136"/>
      <c r="N80" s="136"/>
      <c r="O80" s="136"/>
    </row>
    <row r="81" spans="1:15" ht="22" x14ac:dyDescent="0.35">
      <c r="A81" s="354" t="s">
        <v>862</v>
      </c>
      <c r="B81" s="409"/>
      <c r="C81" s="22"/>
      <c r="D81" s="454"/>
      <c r="E81" s="8">
        <v>2</v>
      </c>
      <c r="F81" s="97" t="s">
        <v>26</v>
      </c>
      <c r="G81" s="621"/>
      <c r="I81" s="136"/>
      <c r="L81" s="136"/>
      <c r="M81" s="136"/>
      <c r="N81" s="136"/>
      <c r="O81" s="136"/>
    </row>
    <row r="82" spans="1:15" x14ac:dyDescent="0.35">
      <c r="A82" s="370"/>
      <c r="B82" s="409"/>
      <c r="C82" s="22"/>
      <c r="D82" s="144"/>
      <c r="E82" s="142">
        <v>-88</v>
      </c>
      <c r="F82" s="143" t="s">
        <v>103</v>
      </c>
      <c r="G82" s="621"/>
      <c r="I82" s="136"/>
      <c r="L82" s="136"/>
      <c r="M82" s="136"/>
      <c r="N82" s="136"/>
      <c r="O82" s="136"/>
    </row>
    <row r="83" spans="1:15" x14ac:dyDescent="0.35">
      <c r="A83" s="370"/>
      <c r="B83" s="409"/>
      <c r="C83" s="22"/>
      <c r="D83" s="144"/>
      <c r="E83" s="142">
        <v>-99</v>
      </c>
      <c r="F83" s="143" t="s">
        <v>266</v>
      </c>
      <c r="G83" s="621"/>
      <c r="I83" s="136"/>
      <c r="L83" s="136"/>
      <c r="M83" s="136"/>
      <c r="N83" s="136"/>
      <c r="O83" s="136"/>
    </row>
    <row r="84" spans="1:15" ht="15" customHeight="1" x14ac:dyDescent="0.35">
      <c r="A84" s="354" t="s">
        <v>308</v>
      </c>
      <c r="B84" s="408" t="s">
        <v>261</v>
      </c>
      <c r="C84" s="20">
        <f>C80+1</f>
        <v>20</v>
      </c>
      <c r="D84" s="151" t="s">
        <v>307</v>
      </c>
      <c r="E84" s="5">
        <v>1</v>
      </c>
      <c r="F84" s="96" t="s">
        <v>29</v>
      </c>
      <c r="G84" s="620" t="s">
        <v>263</v>
      </c>
      <c r="I84" s="136"/>
      <c r="J84" s="135" t="s">
        <v>308</v>
      </c>
      <c r="L84" s="136"/>
      <c r="M84" s="136"/>
      <c r="N84" s="136"/>
      <c r="O84" s="136"/>
    </row>
    <row r="85" spans="1:15" ht="22" x14ac:dyDescent="0.35">
      <c r="A85" s="354" t="s">
        <v>863</v>
      </c>
      <c r="B85" s="409"/>
      <c r="C85" s="22"/>
      <c r="D85" s="144"/>
      <c r="E85" s="8">
        <v>2</v>
      </c>
      <c r="F85" s="97" t="s">
        <v>26</v>
      </c>
      <c r="G85" s="621"/>
      <c r="I85" s="136"/>
      <c r="L85" s="136"/>
      <c r="M85" s="136"/>
      <c r="N85" s="136"/>
      <c r="O85" s="136"/>
    </row>
    <row r="86" spans="1:15" x14ac:dyDescent="0.35">
      <c r="A86" s="370"/>
      <c r="B86" s="409"/>
      <c r="C86" s="22"/>
      <c r="D86" s="144"/>
      <c r="E86" s="142">
        <v>-88</v>
      </c>
      <c r="F86" s="143" t="s">
        <v>103</v>
      </c>
      <c r="G86" s="621"/>
      <c r="I86" s="136"/>
    </row>
    <row r="87" spans="1:15" x14ac:dyDescent="0.35">
      <c r="A87" s="370"/>
      <c r="B87" s="410"/>
      <c r="C87" s="2"/>
      <c r="D87" s="147"/>
      <c r="E87" s="145">
        <v>-99</v>
      </c>
      <c r="F87" s="146" t="s">
        <v>266</v>
      </c>
      <c r="G87" s="622"/>
      <c r="H87" s="161"/>
      <c r="K87" s="388"/>
    </row>
    <row r="88" spans="1:15" ht="15" customHeight="1" x14ac:dyDescent="0.35">
      <c r="A88" s="354" t="s">
        <v>310</v>
      </c>
      <c r="B88" s="408" t="s">
        <v>261</v>
      </c>
      <c r="C88" s="20">
        <f>C84+1</f>
        <v>21</v>
      </c>
      <c r="D88" s="458" t="s">
        <v>309</v>
      </c>
      <c r="E88" s="5">
        <v>1</v>
      </c>
      <c r="F88" s="96" t="s">
        <v>29</v>
      </c>
      <c r="G88" s="620" t="s">
        <v>263</v>
      </c>
      <c r="J88" s="135" t="s">
        <v>310</v>
      </c>
    </row>
    <row r="89" spans="1:15" ht="22" x14ac:dyDescent="0.35">
      <c r="A89" s="354" t="s">
        <v>864</v>
      </c>
      <c r="B89" s="411"/>
      <c r="C89" s="22"/>
      <c r="D89" s="454"/>
      <c r="E89" s="8">
        <v>2</v>
      </c>
      <c r="F89" s="97" t="s">
        <v>26</v>
      </c>
      <c r="G89" s="621"/>
      <c r="I89" s="136"/>
      <c r="L89" s="136"/>
      <c r="M89" s="136"/>
      <c r="N89" s="136"/>
      <c r="O89" s="136"/>
    </row>
    <row r="90" spans="1:15" x14ac:dyDescent="0.35">
      <c r="A90" s="370"/>
      <c r="B90" s="411"/>
      <c r="C90" s="22"/>
      <c r="D90" s="454"/>
      <c r="E90" s="142">
        <v>-88</v>
      </c>
      <c r="F90" s="143" t="s">
        <v>103</v>
      </c>
      <c r="G90" s="621"/>
    </row>
    <row r="91" spans="1:15" x14ac:dyDescent="0.35">
      <c r="A91" s="370"/>
      <c r="B91" s="411"/>
      <c r="C91" s="22"/>
      <c r="D91" s="454"/>
      <c r="E91" s="142">
        <v>-99</v>
      </c>
      <c r="F91" s="143" t="s">
        <v>266</v>
      </c>
      <c r="G91" s="621"/>
    </row>
    <row r="92" spans="1:15" x14ac:dyDescent="0.35">
      <c r="A92" s="354" t="s">
        <v>312</v>
      </c>
      <c r="B92" s="408" t="s">
        <v>261</v>
      </c>
      <c r="C92" s="20">
        <f>C88+1</f>
        <v>22</v>
      </c>
      <c r="D92" s="458" t="s">
        <v>311</v>
      </c>
      <c r="E92" s="5">
        <v>1</v>
      </c>
      <c r="F92" s="96" t="s">
        <v>29</v>
      </c>
      <c r="G92" s="620" t="s">
        <v>263</v>
      </c>
      <c r="J92" s="135" t="s">
        <v>312</v>
      </c>
    </row>
    <row r="93" spans="1:15" ht="22" x14ac:dyDescent="0.35">
      <c r="A93" s="354" t="s">
        <v>865</v>
      </c>
      <c r="B93" s="409"/>
      <c r="C93" s="22"/>
      <c r="D93" s="454"/>
      <c r="E93" s="8">
        <v>2</v>
      </c>
      <c r="F93" s="97" t="s">
        <v>26</v>
      </c>
      <c r="G93" s="621"/>
      <c r="I93" s="136"/>
      <c r="L93" s="136"/>
      <c r="M93" s="136"/>
      <c r="N93" s="136"/>
      <c r="O93" s="136"/>
    </row>
    <row r="94" spans="1:15" x14ac:dyDescent="0.35">
      <c r="A94" s="370"/>
      <c r="B94" s="409"/>
      <c r="C94" s="22"/>
      <c r="D94" s="454"/>
      <c r="E94" s="142">
        <v>-88</v>
      </c>
      <c r="F94" s="143" t="s">
        <v>103</v>
      </c>
      <c r="G94" s="621"/>
    </row>
    <row r="95" spans="1:15" x14ac:dyDescent="0.35">
      <c r="A95" s="370"/>
      <c r="B95" s="410"/>
      <c r="C95" s="2"/>
      <c r="D95" s="461"/>
      <c r="E95" s="145">
        <v>-99</v>
      </c>
      <c r="F95" s="146" t="s">
        <v>266</v>
      </c>
      <c r="G95" s="622"/>
    </row>
    <row r="96" spans="1:15" ht="22" x14ac:dyDescent="0.35">
      <c r="A96" s="354" t="s">
        <v>866</v>
      </c>
      <c r="B96" s="409" t="s">
        <v>261</v>
      </c>
      <c r="C96" s="22">
        <v>23</v>
      </c>
      <c r="D96" s="144" t="s">
        <v>313</v>
      </c>
      <c r="E96" s="5">
        <v>1</v>
      </c>
      <c r="F96" s="96" t="s">
        <v>29</v>
      </c>
      <c r="G96" s="620" t="s">
        <v>263</v>
      </c>
      <c r="J96" s="135" t="s">
        <v>314</v>
      </c>
    </row>
    <row r="97" spans="1:15" ht="22" x14ac:dyDescent="0.35">
      <c r="A97" s="354" t="s">
        <v>317</v>
      </c>
      <c r="B97" s="409"/>
      <c r="C97" s="22"/>
      <c r="D97" s="144"/>
      <c r="E97" s="8">
        <v>2</v>
      </c>
      <c r="F97" s="97" t="s">
        <v>26</v>
      </c>
      <c r="G97" s="621"/>
      <c r="H97" s="161" t="s">
        <v>315</v>
      </c>
      <c r="I97" s="135" t="s">
        <v>316</v>
      </c>
      <c r="J97" s="135" t="s">
        <v>317</v>
      </c>
    </row>
    <row r="98" spans="1:15" x14ac:dyDescent="0.35">
      <c r="A98" s="370"/>
      <c r="B98" s="409"/>
      <c r="C98" s="22"/>
      <c r="D98" s="144"/>
      <c r="E98" s="142">
        <v>-88</v>
      </c>
      <c r="F98" s="143" t="s">
        <v>103</v>
      </c>
      <c r="G98" s="621"/>
      <c r="I98" s="136"/>
      <c r="L98" s="136"/>
      <c r="M98" s="136"/>
      <c r="N98" s="136"/>
      <c r="O98" s="136"/>
    </row>
    <row r="99" spans="1:15" x14ac:dyDescent="0.35">
      <c r="A99" s="370"/>
      <c r="B99" s="409"/>
      <c r="C99" s="22"/>
      <c r="D99" s="144"/>
      <c r="E99" s="145">
        <v>-99</v>
      </c>
      <c r="F99" s="146" t="s">
        <v>266</v>
      </c>
      <c r="G99" s="621"/>
    </row>
    <row r="100" spans="1:15" x14ac:dyDescent="0.35">
      <c r="A100" s="371" t="s">
        <v>320</v>
      </c>
      <c r="B100" s="408" t="s">
        <v>261</v>
      </c>
      <c r="C100" s="20">
        <f>C96</f>
        <v>23</v>
      </c>
      <c r="D100" s="458" t="s">
        <v>318</v>
      </c>
      <c r="E100" s="5">
        <v>1</v>
      </c>
      <c r="F100" s="492" t="s">
        <v>319</v>
      </c>
      <c r="G100" s="463"/>
      <c r="J100" s="135" t="s">
        <v>320</v>
      </c>
    </row>
    <row r="101" spans="1:15" ht="30" customHeight="1" x14ac:dyDescent="0.35">
      <c r="A101" s="370"/>
      <c r="B101" s="409"/>
      <c r="C101" s="22"/>
      <c r="D101" s="454"/>
      <c r="E101" s="8">
        <f t="shared" ref="E101:E106" si="0">E100+1</f>
        <v>2</v>
      </c>
      <c r="F101" s="493" t="s">
        <v>321</v>
      </c>
      <c r="G101" s="453"/>
    </row>
    <row r="102" spans="1:15" x14ac:dyDescent="0.35">
      <c r="A102" s="370"/>
      <c r="B102" s="409"/>
      <c r="C102" s="22"/>
      <c r="D102" s="454"/>
      <c r="E102" s="8">
        <f t="shared" si="0"/>
        <v>3</v>
      </c>
      <c r="F102" s="493" t="s">
        <v>322</v>
      </c>
      <c r="G102" s="453"/>
      <c r="I102" s="136"/>
      <c r="K102" s="136"/>
      <c r="L102" s="136"/>
      <c r="M102" s="136"/>
      <c r="N102" s="136"/>
      <c r="O102" s="136"/>
    </row>
    <row r="103" spans="1:15" x14ac:dyDescent="0.35">
      <c r="A103" s="370"/>
      <c r="B103" s="409"/>
      <c r="C103" s="22"/>
      <c r="D103" s="144"/>
      <c r="E103" s="8">
        <f t="shared" si="0"/>
        <v>4</v>
      </c>
      <c r="F103" s="493" t="s">
        <v>323</v>
      </c>
      <c r="G103" s="453"/>
    </row>
    <row r="104" spans="1:15" x14ac:dyDescent="0.35">
      <c r="A104" s="370"/>
      <c r="B104" s="409"/>
      <c r="C104" s="22"/>
      <c r="D104" s="144"/>
      <c r="E104" s="8">
        <f t="shared" si="0"/>
        <v>5</v>
      </c>
      <c r="F104" s="493" t="s">
        <v>324</v>
      </c>
      <c r="G104" s="453"/>
    </row>
    <row r="105" spans="1:15" x14ac:dyDescent="0.35">
      <c r="A105" s="370"/>
      <c r="B105" s="409"/>
      <c r="C105" s="22"/>
      <c r="D105" s="144"/>
      <c r="E105" s="8">
        <f t="shared" si="0"/>
        <v>6</v>
      </c>
      <c r="F105" s="493" t="s">
        <v>325</v>
      </c>
      <c r="G105" s="453"/>
    </row>
    <row r="106" spans="1:15" x14ac:dyDescent="0.35">
      <c r="A106" s="370"/>
      <c r="B106" s="409"/>
      <c r="C106" s="22"/>
      <c r="D106" s="144"/>
      <c r="E106" s="8">
        <f t="shared" si="0"/>
        <v>7</v>
      </c>
      <c r="F106" s="493" t="s">
        <v>326</v>
      </c>
      <c r="G106" s="453"/>
    </row>
    <row r="107" spans="1:15" x14ac:dyDescent="0.35">
      <c r="A107" s="370"/>
      <c r="B107" s="409"/>
      <c r="C107" s="22"/>
      <c r="D107" s="144"/>
      <c r="E107" s="8">
        <v>8</v>
      </c>
      <c r="F107" s="81" t="s">
        <v>327</v>
      </c>
      <c r="G107" s="22"/>
    </row>
    <row r="108" spans="1:15" x14ac:dyDescent="0.35">
      <c r="A108" s="370"/>
      <c r="B108" s="409"/>
      <c r="C108" s="22"/>
      <c r="D108" s="144"/>
      <c r="E108" s="8">
        <v>9</v>
      </c>
      <c r="F108" s="493" t="s">
        <v>328</v>
      </c>
      <c r="G108" s="453"/>
    </row>
    <row r="109" spans="1:15" ht="25.5" customHeight="1" x14ac:dyDescent="0.35">
      <c r="A109" s="370"/>
      <c r="B109" s="409"/>
      <c r="C109" s="22"/>
      <c r="D109" s="144"/>
      <c r="E109" s="8">
        <v>10</v>
      </c>
      <c r="F109" s="493" t="s">
        <v>329</v>
      </c>
      <c r="G109" s="453"/>
    </row>
    <row r="110" spans="1:15" x14ac:dyDescent="0.35">
      <c r="A110" s="370"/>
      <c r="B110" s="409"/>
      <c r="C110" s="22"/>
      <c r="D110" s="144"/>
      <c r="E110" s="115">
        <v>-66</v>
      </c>
      <c r="F110" s="493" t="s">
        <v>1114</v>
      </c>
      <c r="G110" s="453"/>
    </row>
    <row r="111" spans="1:15" x14ac:dyDescent="0.35">
      <c r="A111" s="370"/>
      <c r="B111" s="409"/>
      <c r="C111" s="22"/>
      <c r="D111" s="144"/>
      <c r="E111" s="145">
        <v>-99</v>
      </c>
      <c r="F111" s="146" t="s">
        <v>266</v>
      </c>
      <c r="G111" s="81"/>
    </row>
    <row r="112" spans="1:15" ht="18" customHeight="1" x14ac:dyDescent="0.35">
      <c r="A112" s="354" t="s">
        <v>333</v>
      </c>
      <c r="B112" s="409" t="s">
        <v>261</v>
      </c>
      <c r="C112" s="20">
        <f>C100+1</f>
        <v>24</v>
      </c>
      <c r="D112" s="151" t="s">
        <v>331</v>
      </c>
      <c r="E112" s="5">
        <v>1</v>
      </c>
      <c r="F112" s="96" t="s">
        <v>29</v>
      </c>
      <c r="G112" s="620" t="s">
        <v>263</v>
      </c>
      <c r="J112" s="135" t="s">
        <v>332</v>
      </c>
    </row>
    <row r="113" spans="1:15" x14ac:dyDescent="0.35">
      <c r="A113" s="370"/>
      <c r="B113" s="409"/>
      <c r="C113" s="22"/>
      <c r="D113" s="144"/>
      <c r="E113" s="8">
        <v>2</v>
      </c>
      <c r="F113" s="97" t="s">
        <v>26</v>
      </c>
      <c r="G113" s="621"/>
      <c r="H113" s="161" t="s">
        <v>315</v>
      </c>
      <c r="I113" s="174" t="s">
        <v>316</v>
      </c>
      <c r="J113" s="135" t="s">
        <v>333</v>
      </c>
    </row>
    <row r="114" spans="1:15" ht="15.75" customHeight="1" x14ac:dyDescent="0.35">
      <c r="A114" s="370"/>
      <c r="B114" s="409"/>
      <c r="C114" s="22"/>
      <c r="D114" s="144"/>
      <c r="E114" s="142">
        <v>-88</v>
      </c>
      <c r="F114" s="143" t="s">
        <v>103</v>
      </c>
      <c r="G114" s="621"/>
      <c r="I114" s="136"/>
      <c r="K114" s="136"/>
      <c r="L114" s="136"/>
      <c r="M114" s="136"/>
      <c r="N114" s="136"/>
      <c r="O114" s="136"/>
    </row>
    <row r="115" spans="1:15" x14ac:dyDescent="0.35">
      <c r="A115" s="370"/>
      <c r="B115" s="409"/>
      <c r="C115" s="22"/>
      <c r="D115" s="144"/>
      <c r="E115" s="145">
        <v>-99</v>
      </c>
      <c r="F115" s="146" t="s">
        <v>266</v>
      </c>
      <c r="G115" s="621"/>
    </row>
    <row r="116" spans="1:15" ht="22" x14ac:dyDescent="0.35">
      <c r="A116" s="354" t="s">
        <v>867</v>
      </c>
      <c r="B116" s="408" t="s">
        <v>261</v>
      </c>
      <c r="C116" s="20">
        <f>C112</f>
        <v>24</v>
      </c>
      <c r="D116" s="458" t="s">
        <v>334</v>
      </c>
      <c r="E116" s="5">
        <v>1</v>
      </c>
      <c r="F116" s="492" t="s">
        <v>319</v>
      </c>
      <c r="G116" s="463"/>
      <c r="J116" s="135" t="s">
        <v>335</v>
      </c>
    </row>
    <row r="117" spans="1:15" ht="27.75" customHeight="1" x14ac:dyDescent="0.35">
      <c r="A117" s="370"/>
      <c r="B117" s="409"/>
      <c r="C117" s="22"/>
      <c r="D117" s="454"/>
      <c r="E117" s="8">
        <f t="shared" ref="E117:E122" si="1">E116+1</f>
        <v>2</v>
      </c>
      <c r="F117" s="493" t="s">
        <v>321</v>
      </c>
      <c r="G117" s="453"/>
      <c r="I117" s="136"/>
      <c r="K117" s="136"/>
      <c r="L117" s="136"/>
      <c r="M117" s="136"/>
      <c r="N117" s="136"/>
      <c r="O117" s="136"/>
    </row>
    <row r="118" spans="1:15" x14ac:dyDescent="0.35">
      <c r="A118" s="370"/>
      <c r="B118" s="409"/>
      <c r="C118" s="22"/>
      <c r="D118" s="454"/>
      <c r="E118" s="8">
        <f t="shared" si="1"/>
        <v>3</v>
      </c>
      <c r="F118" s="493" t="s">
        <v>322</v>
      </c>
      <c r="G118" s="453"/>
      <c r="I118" s="136"/>
      <c r="K118" s="136"/>
      <c r="L118" s="136"/>
      <c r="M118" s="136"/>
      <c r="N118" s="136"/>
      <c r="O118" s="136"/>
    </row>
    <row r="119" spans="1:15" x14ac:dyDescent="0.35">
      <c r="A119" s="370"/>
      <c r="B119" s="409"/>
      <c r="C119" s="22"/>
      <c r="D119" s="454"/>
      <c r="E119" s="8">
        <f t="shared" si="1"/>
        <v>4</v>
      </c>
      <c r="F119" s="493" t="s">
        <v>323</v>
      </c>
      <c r="G119" s="453"/>
    </row>
    <row r="120" spans="1:15" x14ac:dyDescent="0.35">
      <c r="A120" s="370"/>
      <c r="B120" s="409"/>
      <c r="C120" s="22"/>
      <c r="D120" s="144"/>
      <c r="E120" s="8">
        <f t="shared" si="1"/>
        <v>5</v>
      </c>
      <c r="F120" s="493" t="s">
        <v>324</v>
      </c>
      <c r="G120" s="453"/>
    </row>
    <row r="121" spans="1:15" x14ac:dyDescent="0.35">
      <c r="A121" s="370"/>
      <c r="B121" s="409"/>
      <c r="C121" s="22"/>
      <c r="D121" s="144"/>
      <c r="E121" s="8">
        <f t="shared" si="1"/>
        <v>6</v>
      </c>
      <c r="F121" s="493" t="s">
        <v>325</v>
      </c>
      <c r="G121" s="453"/>
      <c r="I121" s="136"/>
      <c r="K121" s="136"/>
      <c r="L121" s="136"/>
      <c r="M121" s="136"/>
      <c r="N121" s="136"/>
      <c r="O121" s="136"/>
    </row>
    <row r="122" spans="1:15" ht="15" customHeight="1" x14ac:dyDescent="0.35">
      <c r="A122" s="370"/>
      <c r="B122" s="409"/>
      <c r="C122" s="22"/>
      <c r="D122" s="144"/>
      <c r="E122" s="8">
        <f t="shared" si="1"/>
        <v>7</v>
      </c>
      <c r="F122" s="493" t="s">
        <v>326</v>
      </c>
      <c r="G122" s="453"/>
    </row>
    <row r="123" spans="1:15" x14ac:dyDescent="0.35">
      <c r="A123" s="370"/>
      <c r="B123" s="409"/>
      <c r="C123" s="22"/>
      <c r="D123" s="144"/>
      <c r="E123" s="8">
        <v>8</v>
      </c>
      <c r="F123" s="81" t="s">
        <v>327</v>
      </c>
      <c r="G123" s="22"/>
    </row>
    <row r="124" spans="1:15" x14ac:dyDescent="0.35">
      <c r="A124" s="370"/>
      <c r="B124" s="409"/>
      <c r="C124" s="22"/>
      <c r="D124" s="144"/>
      <c r="E124" s="8">
        <v>9</v>
      </c>
      <c r="F124" s="493" t="s">
        <v>328</v>
      </c>
      <c r="G124" s="453"/>
    </row>
    <row r="125" spans="1:15" ht="25.5" customHeight="1" x14ac:dyDescent="0.35">
      <c r="A125" s="370"/>
      <c r="B125" s="409"/>
      <c r="C125" s="22"/>
      <c r="D125" s="144"/>
      <c r="E125" s="8">
        <v>10</v>
      </c>
      <c r="F125" s="493" t="s">
        <v>329</v>
      </c>
      <c r="G125" s="453"/>
    </row>
    <row r="126" spans="1:15" x14ac:dyDescent="0.35">
      <c r="A126" s="370"/>
      <c r="B126" s="409"/>
      <c r="C126" s="22"/>
      <c r="D126" s="144"/>
      <c r="E126" s="115">
        <v>-66</v>
      </c>
      <c r="F126" s="493" t="s">
        <v>1113</v>
      </c>
      <c r="G126" s="453"/>
    </row>
    <row r="127" spans="1:15" x14ac:dyDescent="0.35">
      <c r="A127" s="370"/>
      <c r="B127" s="409"/>
      <c r="C127" s="22"/>
      <c r="D127" s="81"/>
      <c r="E127" s="112">
        <v>-99</v>
      </c>
      <c r="F127" s="494" t="s">
        <v>266</v>
      </c>
      <c r="G127" s="456"/>
    </row>
    <row r="128" spans="1:15" ht="22" x14ac:dyDescent="0.35">
      <c r="A128" s="354" t="s">
        <v>338</v>
      </c>
      <c r="B128" s="258"/>
      <c r="C128" s="20">
        <f>C116</f>
        <v>24</v>
      </c>
      <c r="D128" s="463" t="s">
        <v>336</v>
      </c>
      <c r="E128" s="163">
        <v>1</v>
      </c>
      <c r="F128" s="638" t="s">
        <v>337</v>
      </c>
      <c r="G128" s="639"/>
      <c r="J128" s="135" t="s">
        <v>338</v>
      </c>
    </row>
    <row r="129" spans="1:15" x14ac:dyDescent="0.35">
      <c r="A129" s="370"/>
      <c r="B129" s="239"/>
      <c r="C129" s="22"/>
      <c r="D129" s="453"/>
      <c r="E129" s="165">
        <f t="shared" ref="E129:E137" si="2">E128+1</f>
        <v>2</v>
      </c>
      <c r="F129" s="636" t="s">
        <v>339</v>
      </c>
      <c r="G129" s="637"/>
      <c r="I129" s="136"/>
      <c r="K129" s="136"/>
      <c r="L129" s="136"/>
      <c r="M129" s="136"/>
      <c r="N129" s="136"/>
      <c r="O129" s="136"/>
    </row>
    <row r="130" spans="1:15" x14ac:dyDescent="0.35">
      <c r="A130" s="370"/>
      <c r="B130" s="239"/>
      <c r="C130" s="22"/>
      <c r="D130" s="453"/>
      <c r="E130" s="165">
        <f t="shared" si="2"/>
        <v>3</v>
      </c>
      <c r="F130" s="636" t="s">
        <v>340</v>
      </c>
      <c r="G130" s="637"/>
    </row>
    <row r="131" spans="1:15" x14ac:dyDescent="0.35">
      <c r="A131" s="370"/>
      <c r="B131" s="239"/>
      <c r="C131" s="22"/>
      <c r="D131" s="453"/>
      <c r="E131" s="165">
        <f t="shared" si="2"/>
        <v>4</v>
      </c>
      <c r="F131" s="636" t="s">
        <v>341</v>
      </c>
      <c r="G131" s="637"/>
    </row>
    <row r="132" spans="1:15" x14ac:dyDescent="0.35">
      <c r="A132" s="370"/>
      <c r="B132" s="239"/>
      <c r="C132" s="22"/>
      <c r="D132" s="453"/>
      <c r="E132" s="165">
        <f t="shared" si="2"/>
        <v>5</v>
      </c>
      <c r="F132" s="636" t="s">
        <v>342</v>
      </c>
      <c r="G132" s="637"/>
    </row>
    <row r="133" spans="1:15" ht="15" customHeight="1" x14ac:dyDescent="0.35">
      <c r="A133" s="370"/>
      <c r="B133" s="239"/>
      <c r="C133" s="22"/>
      <c r="D133" s="453"/>
      <c r="E133" s="165">
        <f t="shared" si="2"/>
        <v>6</v>
      </c>
      <c r="F133" s="636" t="s">
        <v>343</v>
      </c>
      <c r="G133" s="637"/>
    </row>
    <row r="134" spans="1:15" ht="20.25" customHeight="1" x14ac:dyDescent="0.35">
      <c r="A134" s="370"/>
      <c r="B134" s="239"/>
      <c r="C134" s="97"/>
      <c r="D134" s="640"/>
      <c r="E134" s="165">
        <f t="shared" si="2"/>
        <v>7</v>
      </c>
      <c r="F134" s="636" t="s">
        <v>344</v>
      </c>
      <c r="G134" s="637"/>
      <c r="H134" s="136"/>
      <c r="I134" s="136"/>
      <c r="K134" s="136"/>
      <c r="L134" s="136"/>
      <c r="M134" s="136"/>
      <c r="N134" s="136"/>
      <c r="O134" s="136"/>
    </row>
    <row r="135" spans="1:15" x14ac:dyDescent="0.35">
      <c r="A135" s="370"/>
      <c r="B135" s="239"/>
      <c r="C135" s="97"/>
      <c r="D135" s="640"/>
      <c r="E135" s="165">
        <f t="shared" si="2"/>
        <v>8</v>
      </c>
      <c r="F135" s="636" t="s">
        <v>345</v>
      </c>
      <c r="G135" s="637"/>
    </row>
    <row r="136" spans="1:15" x14ac:dyDescent="0.35">
      <c r="A136" s="370"/>
      <c r="B136" s="239"/>
      <c r="C136" s="97"/>
      <c r="D136" s="640"/>
      <c r="E136" s="165">
        <f t="shared" si="2"/>
        <v>9</v>
      </c>
      <c r="F136" s="636" t="s">
        <v>346</v>
      </c>
      <c r="G136" s="637"/>
    </row>
    <row r="137" spans="1:15" x14ac:dyDescent="0.35">
      <c r="A137" s="370"/>
      <c r="B137" s="239"/>
      <c r="C137" s="97"/>
      <c r="D137" s="9"/>
      <c r="E137" s="165">
        <f t="shared" si="2"/>
        <v>10</v>
      </c>
      <c r="F137" s="636" t="s">
        <v>347</v>
      </c>
      <c r="G137" s="637"/>
      <c r="I137" s="136"/>
      <c r="K137" s="136"/>
      <c r="L137" s="136"/>
      <c r="M137" s="136"/>
      <c r="N137" s="136"/>
      <c r="O137" s="136"/>
    </row>
    <row r="138" spans="1:15" x14ac:dyDescent="0.35">
      <c r="A138" s="370"/>
      <c r="B138" s="239"/>
      <c r="C138" s="97"/>
      <c r="D138" s="9"/>
      <c r="E138" s="165">
        <f>E137+1</f>
        <v>11</v>
      </c>
      <c r="F138" s="636" t="s">
        <v>348</v>
      </c>
      <c r="G138" s="637"/>
    </row>
    <row r="139" spans="1:15" x14ac:dyDescent="0.35">
      <c r="A139" s="370"/>
      <c r="B139" s="239"/>
      <c r="C139" s="97"/>
      <c r="D139" s="9"/>
      <c r="E139" s="165">
        <v>12</v>
      </c>
      <c r="F139" s="616" t="s">
        <v>349</v>
      </c>
      <c r="G139" s="617"/>
    </row>
    <row r="140" spans="1:15" x14ac:dyDescent="0.35">
      <c r="A140" s="370"/>
      <c r="B140" s="239"/>
      <c r="C140" s="97"/>
      <c r="D140" s="9"/>
      <c r="E140" s="165">
        <v>13</v>
      </c>
      <c r="F140" s="616" t="s">
        <v>350</v>
      </c>
      <c r="G140" s="617"/>
    </row>
    <row r="141" spans="1:15" x14ac:dyDescent="0.35">
      <c r="A141" s="370"/>
      <c r="B141" s="239"/>
      <c r="C141" s="97"/>
      <c r="D141" s="9"/>
      <c r="E141" s="115">
        <v>-88</v>
      </c>
      <c r="F141" s="618" t="s">
        <v>103</v>
      </c>
      <c r="G141" s="619"/>
    </row>
    <row r="142" spans="1:15" x14ac:dyDescent="0.35">
      <c r="A142" s="370"/>
      <c r="B142" s="409"/>
      <c r="C142" s="22"/>
      <c r="D142" s="144"/>
      <c r="E142" s="115">
        <v>-99</v>
      </c>
      <c r="F142" s="618" t="s">
        <v>266</v>
      </c>
      <c r="G142" s="619"/>
    </row>
    <row r="143" spans="1:15" ht="15" customHeight="1" x14ac:dyDescent="0.35">
      <c r="A143" s="354" t="s">
        <v>352</v>
      </c>
      <c r="B143" s="408" t="s">
        <v>261</v>
      </c>
      <c r="C143" s="20">
        <f>C128+1</f>
        <v>25</v>
      </c>
      <c r="D143" s="458" t="s">
        <v>351</v>
      </c>
      <c r="E143" s="5">
        <v>1</v>
      </c>
      <c r="F143" s="96" t="s">
        <v>29</v>
      </c>
      <c r="G143" s="620" t="s">
        <v>263</v>
      </c>
      <c r="J143" s="135" t="s">
        <v>352</v>
      </c>
    </row>
    <row r="144" spans="1:15" ht="22" x14ac:dyDescent="0.35">
      <c r="A144" s="354" t="s">
        <v>868</v>
      </c>
      <c r="B144" s="409"/>
      <c r="C144" s="22"/>
      <c r="D144" s="454"/>
      <c r="E144" s="8">
        <v>2</v>
      </c>
      <c r="F144" s="97" t="s">
        <v>26</v>
      </c>
      <c r="G144" s="621"/>
    </row>
    <row r="145" spans="1:10" x14ac:dyDescent="0.35">
      <c r="A145" s="370"/>
      <c r="B145" s="409"/>
      <c r="C145" s="22"/>
      <c r="D145" s="454"/>
      <c r="E145" s="142">
        <v>-88</v>
      </c>
      <c r="F145" s="143" t="s">
        <v>103</v>
      </c>
      <c r="G145" s="621"/>
    </row>
    <row r="146" spans="1:10" ht="36" customHeight="1" x14ac:dyDescent="0.35">
      <c r="A146" s="370"/>
      <c r="B146" s="409"/>
      <c r="C146" s="22"/>
      <c r="D146" s="454"/>
      <c r="E146" s="112">
        <v>-99</v>
      </c>
      <c r="F146" s="92" t="s">
        <v>266</v>
      </c>
      <c r="G146" s="622"/>
    </row>
    <row r="147" spans="1:10" x14ac:dyDescent="0.35">
      <c r="A147" s="354" t="s">
        <v>354</v>
      </c>
      <c r="B147" s="408" t="s">
        <v>261</v>
      </c>
      <c r="C147" s="20">
        <f>C143+1</f>
        <v>26</v>
      </c>
      <c r="D147" s="458" t="s">
        <v>353</v>
      </c>
      <c r="E147" s="5">
        <v>1</v>
      </c>
      <c r="F147" s="96" t="s">
        <v>29</v>
      </c>
      <c r="G147" s="620" t="s">
        <v>263</v>
      </c>
      <c r="J147" s="135" t="s">
        <v>354</v>
      </c>
    </row>
    <row r="148" spans="1:10" ht="22" x14ac:dyDescent="0.35">
      <c r="A148" s="354" t="s">
        <v>869</v>
      </c>
      <c r="B148" s="409"/>
      <c r="C148" s="22"/>
      <c r="D148" s="454"/>
      <c r="E148" s="8">
        <v>2</v>
      </c>
      <c r="F148" s="97" t="s">
        <v>26</v>
      </c>
      <c r="G148" s="621"/>
    </row>
    <row r="149" spans="1:10" x14ac:dyDescent="0.35">
      <c r="A149" s="370"/>
      <c r="B149" s="409"/>
      <c r="C149" s="22"/>
      <c r="D149" s="454"/>
      <c r="E149" s="142">
        <v>-88</v>
      </c>
      <c r="F149" s="143" t="s">
        <v>103</v>
      </c>
      <c r="G149" s="621"/>
    </row>
    <row r="150" spans="1:10" x14ac:dyDescent="0.35">
      <c r="A150" s="370"/>
      <c r="B150" s="409"/>
      <c r="C150" s="22"/>
      <c r="D150" s="454"/>
      <c r="E150" s="145">
        <v>-99</v>
      </c>
      <c r="F150" s="146" t="s">
        <v>266</v>
      </c>
      <c r="G150" s="621"/>
    </row>
    <row r="151" spans="1:10" x14ac:dyDescent="0.35">
      <c r="A151" s="354" t="s">
        <v>355</v>
      </c>
      <c r="B151" s="408" t="s">
        <v>261</v>
      </c>
      <c r="C151" s="20">
        <f>C147+1</f>
        <v>27</v>
      </c>
      <c r="D151" s="458" t="s">
        <v>964</v>
      </c>
      <c r="E151" s="5">
        <v>1</v>
      </c>
      <c r="F151" s="96" t="s">
        <v>29</v>
      </c>
      <c r="G151" s="620" t="s">
        <v>263</v>
      </c>
      <c r="J151" s="135" t="s">
        <v>355</v>
      </c>
    </row>
    <row r="152" spans="1:10" x14ac:dyDescent="0.35">
      <c r="A152" s="354" t="s">
        <v>870</v>
      </c>
      <c r="B152" s="409"/>
      <c r="C152" s="22"/>
      <c r="D152" s="454"/>
      <c r="E152" s="8">
        <v>2</v>
      </c>
      <c r="F152" s="97" t="s">
        <v>26</v>
      </c>
      <c r="G152" s="621"/>
    </row>
    <row r="153" spans="1:10" s="166" customFormat="1" x14ac:dyDescent="0.35">
      <c r="A153" s="354"/>
      <c r="B153" s="409"/>
      <c r="C153" s="22"/>
      <c r="D153" s="454"/>
      <c r="E153" s="142">
        <v>-88</v>
      </c>
      <c r="F153" s="143" t="s">
        <v>103</v>
      </c>
      <c r="G153" s="621"/>
    </row>
    <row r="154" spans="1:10" x14ac:dyDescent="0.35">
      <c r="A154" s="370"/>
      <c r="B154" s="410"/>
      <c r="C154" s="2"/>
      <c r="D154" s="461"/>
      <c r="E154" s="145">
        <v>-99</v>
      </c>
      <c r="F154" s="146" t="s">
        <v>266</v>
      </c>
      <c r="G154" s="622"/>
    </row>
    <row r="155" spans="1:10" x14ac:dyDescent="0.35">
      <c r="A155" s="370"/>
      <c r="B155" s="148"/>
      <c r="C155" s="81"/>
      <c r="D155" s="81"/>
      <c r="E155" s="149"/>
      <c r="F155" s="149"/>
      <c r="G155" s="167"/>
    </row>
    <row r="156" spans="1:10" x14ac:dyDescent="0.35">
      <c r="A156" s="370"/>
      <c r="B156" s="627" t="s">
        <v>356</v>
      </c>
      <c r="C156" s="628"/>
      <c r="D156" s="628"/>
      <c r="E156" s="628"/>
      <c r="F156" s="628"/>
      <c r="G156" s="628"/>
      <c r="H156" s="628"/>
      <c r="I156" s="629"/>
    </row>
    <row r="157" spans="1:10" ht="15" customHeight="1" x14ac:dyDescent="0.35">
      <c r="A157" s="370"/>
      <c r="B157" s="630"/>
      <c r="C157" s="631"/>
      <c r="D157" s="631"/>
      <c r="E157" s="631"/>
      <c r="F157" s="631"/>
      <c r="G157" s="631"/>
      <c r="H157" s="631"/>
      <c r="I157" s="632"/>
    </row>
    <row r="158" spans="1:10" x14ac:dyDescent="0.35">
      <c r="A158" s="370"/>
      <c r="B158" s="633"/>
      <c r="C158" s="634"/>
      <c r="D158" s="634"/>
      <c r="E158" s="634"/>
      <c r="F158" s="634"/>
      <c r="G158" s="634"/>
      <c r="H158" s="634"/>
      <c r="I158" s="635"/>
    </row>
    <row r="159" spans="1:10" x14ac:dyDescent="0.35">
      <c r="A159" s="370"/>
      <c r="B159" s="168"/>
      <c r="C159" s="168"/>
      <c r="D159" s="169"/>
      <c r="E159" s="169"/>
      <c r="F159" s="169"/>
      <c r="G159" s="169"/>
    </row>
    <row r="160" spans="1:10" x14ac:dyDescent="0.35">
      <c r="A160" s="354" t="s">
        <v>358</v>
      </c>
      <c r="B160" s="408" t="s">
        <v>261</v>
      </c>
      <c r="C160" s="20">
        <v>28</v>
      </c>
      <c r="D160" s="463" t="s">
        <v>357</v>
      </c>
      <c r="E160" s="5">
        <v>1</v>
      </c>
      <c r="F160" s="96" t="s">
        <v>29</v>
      </c>
      <c r="G160" s="18"/>
      <c r="J160" s="135" t="s">
        <v>358</v>
      </c>
    </row>
    <row r="161" spans="1:10" ht="64.5" customHeight="1" thickBot="1" x14ac:dyDescent="0.4">
      <c r="A161" s="354" t="s">
        <v>871</v>
      </c>
      <c r="B161" s="409"/>
      <c r="C161" s="22"/>
      <c r="D161" s="626"/>
      <c r="E161" s="8">
        <v>2</v>
      </c>
      <c r="F161" s="97" t="s">
        <v>26</v>
      </c>
      <c r="G161" s="22" t="s">
        <v>359</v>
      </c>
    </row>
    <row r="162" spans="1:10" ht="15" thickBot="1" x14ac:dyDescent="0.4">
      <c r="A162" s="354" t="s">
        <v>872</v>
      </c>
      <c r="B162" s="409"/>
      <c r="C162" s="22"/>
      <c r="D162" s="170" t="s">
        <v>360</v>
      </c>
      <c r="E162" s="623" t="s">
        <v>361</v>
      </c>
      <c r="F162" s="624"/>
      <c r="G162" s="625"/>
      <c r="J162" s="135" t="s">
        <v>362</v>
      </c>
    </row>
    <row r="163" spans="1:10" ht="15" thickBot="1" x14ac:dyDescent="0.4">
      <c r="A163" s="370"/>
      <c r="B163" s="409"/>
      <c r="C163" s="22"/>
      <c r="D163" s="170" t="s">
        <v>360</v>
      </c>
      <c r="E163" s="623" t="s">
        <v>361</v>
      </c>
      <c r="F163" s="624"/>
      <c r="G163" s="625"/>
      <c r="J163" s="135" t="s">
        <v>363</v>
      </c>
    </row>
    <row r="164" spans="1:10" ht="15" thickBot="1" x14ac:dyDescent="0.4">
      <c r="A164" s="370"/>
      <c r="B164" s="410"/>
      <c r="C164" s="2"/>
      <c r="D164" s="170" t="s">
        <v>360</v>
      </c>
      <c r="E164" s="623" t="s">
        <v>361</v>
      </c>
      <c r="F164" s="624"/>
      <c r="G164" s="625"/>
    </row>
  </sheetData>
  <mergeCells count="101">
    <mergeCell ref="D4:D6"/>
    <mergeCell ref="G4:G7"/>
    <mergeCell ref="H18:I18"/>
    <mergeCell ref="D19:D22"/>
    <mergeCell ref="G19:G22"/>
    <mergeCell ref="B1:I1"/>
    <mergeCell ref="B2:C2"/>
    <mergeCell ref="E2:G2"/>
    <mergeCell ref="H2:I2"/>
    <mergeCell ref="E3:F3"/>
    <mergeCell ref="D23:D26"/>
    <mergeCell ref="G23:G26"/>
    <mergeCell ref="D8:D10"/>
    <mergeCell ref="G8:G11"/>
    <mergeCell ref="D12:D14"/>
    <mergeCell ref="G12:G15"/>
    <mergeCell ref="B17:G17"/>
    <mergeCell ref="D18:F18"/>
    <mergeCell ref="G48:G51"/>
    <mergeCell ref="D52:D53"/>
    <mergeCell ref="G52:G55"/>
    <mergeCell ref="G56:G59"/>
    <mergeCell ref="D27:D29"/>
    <mergeCell ref="G27:G30"/>
    <mergeCell ref="G31:G34"/>
    <mergeCell ref="D35:D37"/>
    <mergeCell ref="G35:G38"/>
    <mergeCell ref="D39:D40"/>
    <mergeCell ref="G39:G42"/>
    <mergeCell ref="D43:D44"/>
    <mergeCell ref="G43:G47"/>
    <mergeCell ref="D60:D63"/>
    <mergeCell ref="G60:G63"/>
    <mergeCell ref="D64:D66"/>
    <mergeCell ref="G64:G67"/>
    <mergeCell ref="D68:D71"/>
    <mergeCell ref="G68:G71"/>
    <mergeCell ref="G72:G75"/>
    <mergeCell ref="D76:D77"/>
    <mergeCell ref="G76:G79"/>
    <mergeCell ref="D80:D81"/>
    <mergeCell ref="G80:G83"/>
    <mergeCell ref="D72:D74"/>
    <mergeCell ref="F104:G104"/>
    <mergeCell ref="G84:G87"/>
    <mergeCell ref="D88:D91"/>
    <mergeCell ref="G88:G91"/>
    <mergeCell ref="D92:D95"/>
    <mergeCell ref="G92:G95"/>
    <mergeCell ref="G96:G99"/>
    <mergeCell ref="D100:D102"/>
    <mergeCell ref="F100:G100"/>
    <mergeCell ref="F101:G101"/>
    <mergeCell ref="F102:G102"/>
    <mergeCell ref="F103:G103"/>
    <mergeCell ref="D116:D119"/>
    <mergeCell ref="F116:G116"/>
    <mergeCell ref="F117:G117"/>
    <mergeCell ref="F118:G118"/>
    <mergeCell ref="F119:G119"/>
    <mergeCell ref="F127:G127"/>
    <mergeCell ref="F105:G105"/>
    <mergeCell ref="F106:G106"/>
    <mergeCell ref="F108:G108"/>
    <mergeCell ref="F110:G110"/>
    <mergeCell ref="G112:G115"/>
    <mergeCell ref="F120:G120"/>
    <mergeCell ref="F121:G121"/>
    <mergeCell ref="F122:G122"/>
    <mergeCell ref="F124:G124"/>
    <mergeCell ref="F126:G126"/>
    <mergeCell ref="F125:G125"/>
    <mergeCell ref="F109:G109"/>
    <mergeCell ref="F138:G138"/>
    <mergeCell ref="D128:D133"/>
    <mergeCell ref="F128:G128"/>
    <mergeCell ref="F129:G129"/>
    <mergeCell ref="F130:G130"/>
    <mergeCell ref="F131:G131"/>
    <mergeCell ref="F132:G132"/>
    <mergeCell ref="F133:G133"/>
    <mergeCell ref="D134:D136"/>
    <mergeCell ref="F134:G134"/>
    <mergeCell ref="F135:G135"/>
    <mergeCell ref="F136:G136"/>
    <mergeCell ref="F137:G137"/>
    <mergeCell ref="F139:G139"/>
    <mergeCell ref="F140:G140"/>
    <mergeCell ref="F141:G141"/>
    <mergeCell ref="F142:G142"/>
    <mergeCell ref="D143:D146"/>
    <mergeCell ref="G143:G146"/>
    <mergeCell ref="E162:G162"/>
    <mergeCell ref="E163:G163"/>
    <mergeCell ref="E164:G164"/>
    <mergeCell ref="D147:D150"/>
    <mergeCell ref="G147:G150"/>
    <mergeCell ref="D151:D154"/>
    <mergeCell ref="G151:G154"/>
    <mergeCell ref="D160:D161"/>
    <mergeCell ref="B156:I158"/>
  </mergeCells>
  <pageMargins left="0.7" right="0.7" top="0.75" bottom="0.75" header="0.3" footer="0.3"/>
  <pageSetup orientation="portrait" r:id="rId1"/>
  <headerFooter>
    <oddHeader xml:space="preserve">&amp;C&amp;"-,Bold"Noon Food Expenditure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4"/>
  <sheetViews>
    <sheetView view="pageLayout" topLeftCell="B1" zoomScaleNormal="100" workbookViewId="0">
      <selection activeCell="E18" sqref="E18:F18"/>
    </sheetView>
  </sheetViews>
  <sheetFormatPr defaultColWidth="9.1796875" defaultRowHeight="14.5" x14ac:dyDescent="0.35"/>
  <cols>
    <col min="1" max="1" width="11.453125" style="369" hidden="1" customWidth="1"/>
    <col min="2" max="2" width="2.26953125" style="173" bestFit="1" customWidth="1"/>
    <col min="3" max="3" width="3" style="135" bestFit="1" customWidth="1"/>
    <col min="4" max="4" width="37.1796875" style="135" customWidth="1"/>
    <col min="5" max="5" width="9.1796875" style="135"/>
    <col min="6" max="6" width="18.453125" style="135" customWidth="1"/>
    <col min="7" max="7" width="2.54296875" style="135" customWidth="1"/>
    <col min="8" max="8" width="11.54296875" style="135" customWidth="1"/>
    <col min="9" max="9" width="4.1796875" style="187" hidden="1" customWidth="1"/>
    <col min="10" max="10" width="0" style="135" hidden="1" customWidth="1"/>
    <col min="11" max="16384" width="9.1796875" style="135"/>
  </cols>
  <sheetData>
    <row r="1" spans="1:14" x14ac:dyDescent="0.35">
      <c r="B1" s="606" t="s">
        <v>394</v>
      </c>
      <c r="C1" s="607"/>
      <c r="D1" s="607"/>
      <c r="E1" s="607"/>
      <c r="F1" s="607"/>
      <c r="G1" s="607"/>
      <c r="H1" s="608"/>
    </row>
    <row r="2" spans="1:14" ht="37.5" customHeight="1" x14ac:dyDescent="0.35">
      <c r="B2" s="609"/>
      <c r="C2" s="610"/>
      <c r="D2" s="610"/>
      <c r="E2" s="610"/>
      <c r="F2" s="610"/>
      <c r="G2" s="610"/>
      <c r="H2" s="611"/>
    </row>
    <row r="3" spans="1:14" x14ac:dyDescent="0.35">
      <c r="B3" s="666" t="s">
        <v>0</v>
      </c>
      <c r="C3" s="667"/>
      <c r="D3" s="236" t="s">
        <v>1</v>
      </c>
      <c r="E3" s="412"/>
      <c r="F3" s="232" t="s">
        <v>2</v>
      </c>
      <c r="G3" s="666" t="s">
        <v>395</v>
      </c>
      <c r="H3" s="667"/>
    </row>
    <row r="4" spans="1:14" x14ac:dyDescent="0.35">
      <c r="A4" s="352" t="s">
        <v>404</v>
      </c>
      <c r="B4" s="660" t="s">
        <v>396</v>
      </c>
      <c r="C4" s="459">
        <v>4</v>
      </c>
      <c r="D4" s="458" t="s">
        <v>397</v>
      </c>
      <c r="E4" s="7">
        <v>1</v>
      </c>
      <c r="F4" s="116" t="s">
        <v>29</v>
      </c>
      <c r="G4" s="188"/>
      <c r="H4" s="20"/>
      <c r="I4" s="187" t="s">
        <v>398</v>
      </c>
      <c r="K4" s="189"/>
      <c r="L4" s="189"/>
      <c r="M4" s="189"/>
      <c r="N4" s="189"/>
    </row>
    <row r="5" spans="1:14" x14ac:dyDescent="0.35">
      <c r="A5" s="352"/>
      <c r="B5" s="661"/>
      <c r="C5" s="464"/>
      <c r="D5" s="454"/>
      <c r="E5" s="21">
        <v>2</v>
      </c>
      <c r="F5" s="81" t="s">
        <v>26</v>
      </c>
      <c r="G5" s="190"/>
      <c r="H5" s="191"/>
      <c r="K5" s="189"/>
      <c r="L5" s="189"/>
      <c r="M5" s="189"/>
      <c r="N5" s="189"/>
    </row>
    <row r="6" spans="1:14" x14ac:dyDescent="0.35">
      <c r="B6" s="411"/>
      <c r="C6" s="97"/>
      <c r="D6" s="192"/>
      <c r="E6" s="21">
        <v>-88</v>
      </c>
      <c r="F6" s="81" t="s">
        <v>103</v>
      </c>
      <c r="G6" s="193"/>
      <c r="H6" s="191"/>
      <c r="K6" s="194"/>
      <c r="L6" s="194"/>
      <c r="M6" s="194"/>
      <c r="N6" s="194"/>
    </row>
    <row r="7" spans="1:14" x14ac:dyDescent="0.35">
      <c r="B7" s="413"/>
      <c r="C7" s="120"/>
      <c r="D7" s="84"/>
      <c r="E7" s="10">
        <v>-99</v>
      </c>
      <c r="F7" s="195" t="s">
        <v>104</v>
      </c>
      <c r="G7" s="196"/>
      <c r="H7" s="85"/>
      <c r="K7" s="189"/>
      <c r="L7" s="189"/>
      <c r="M7" s="189"/>
      <c r="N7" s="189"/>
    </row>
    <row r="8" spans="1:14" x14ac:dyDescent="0.35">
      <c r="A8" s="352" t="s">
        <v>415</v>
      </c>
      <c r="B8" s="660" t="s">
        <v>396</v>
      </c>
      <c r="C8" s="459">
        <f>C23+1</f>
        <v>6</v>
      </c>
      <c r="D8" s="458" t="s">
        <v>399</v>
      </c>
      <c r="E8" s="7">
        <v>1</v>
      </c>
      <c r="F8" s="20" t="s">
        <v>29</v>
      </c>
      <c r="G8" s="197"/>
      <c r="H8" s="198"/>
      <c r="K8" s="189"/>
      <c r="L8" s="189"/>
      <c r="M8" s="189"/>
      <c r="N8" s="189"/>
    </row>
    <row r="9" spans="1:14" ht="41.25" customHeight="1" x14ac:dyDescent="0.35">
      <c r="A9" s="352"/>
      <c r="B9" s="661"/>
      <c r="C9" s="464"/>
      <c r="D9" s="454"/>
      <c r="E9" s="21">
        <v>2</v>
      </c>
      <c r="F9" s="22" t="s">
        <v>26</v>
      </c>
      <c r="G9" s="190"/>
      <c r="H9" s="32"/>
      <c r="I9" s="187" t="s">
        <v>400</v>
      </c>
      <c r="K9" s="189"/>
      <c r="L9" s="189"/>
      <c r="M9" s="189"/>
      <c r="N9" s="189"/>
    </row>
    <row r="10" spans="1:14" ht="18" customHeight="1" x14ac:dyDescent="0.35">
      <c r="B10" s="411"/>
      <c r="C10" s="97"/>
      <c r="D10" s="454"/>
      <c r="E10" s="21">
        <v>-88</v>
      </c>
      <c r="F10" s="22" t="s">
        <v>103</v>
      </c>
      <c r="G10" s="199"/>
      <c r="H10" s="191"/>
      <c r="I10" s="187" t="s">
        <v>401</v>
      </c>
    </row>
    <row r="11" spans="1:14" ht="15" customHeight="1" x14ac:dyDescent="0.35">
      <c r="B11" s="413"/>
      <c r="C11" s="120"/>
      <c r="D11" s="461"/>
      <c r="E11" s="10">
        <v>-99</v>
      </c>
      <c r="F11" s="2" t="s">
        <v>104</v>
      </c>
      <c r="G11" s="200"/>
      <c r="H11" s="85"/>
      <c r="I11" s="187" t="s">
        <v>402</v>
      </c>
    </row>
    <row r="12" spans="1:14" ht="15" customHeight="1" x14ac:dyDescent="0.35">
      <c r="A12" s="352" t="s">
        <v>398</v>
      </c>
      <c r="B12" s="660" t="s">
        <v>396</v>
      </c>
      <c r="C12" s="459">
        <v>7</v>
      </c>
      <c r="D12" s="458" t="s">
        <v>403</v>
      </c>
      <c r="E12" s="7">
        <v>1</v>
      </c>
      <c r="F12" s="116" t="s">
        <v>29</v>
      </c>
      <c r="H12" s="198"/>
    </row>
    <row r="13" spans="1:14" ht="15" customHeight="1" x14ac:dyDescent="0.35">
      <c r="B13" s="661"/>
      <c r="C13" s="464"/>
      <c r="D13" s="454"/>
      <c r="E13" s="21"/>
      <c r="F13" s="81"/>
      <c r="G13" s="190"/>
      <c r="H13" s="191"/>
    </row>
    <row r="14" spans="1:14" ht="15" customHeight="1" x14ac:dyDescent="0.35">
      <c r="B14" s="661"/>
      <c r="C14" s="464"/>
      <c r="D14" s="454"/>
      <c r="E14" s="21">
        <v>2</v>
      </c>
      <c r="F14" s="81" t="s">
        <v>26</v>
      </c>
      <c r="G14" s="201" t="s">
        <v>211</v>
      </c>
      <c r="H14" s="191" t="s">
        <v>1116</v>
      </c>
    </row>
    <row r="15" spans="1:14" x14ac:dyDescent="0.35">
      <c r="B15" s="411"/>
      <c r="C15" s="97"/>
      <c r="D15" s="454"/>
      <c r="E15" s="21">
        <v>-88</v>
      </c>
      <c r="F15" s="81" t="s">
        <v>103</v>
      </c>
      <c r="G15" s="193"/>
      <c r="H15" s="191"/>
      <c r="J15" s="135" t="s">
        <v>404</v>
      </c>
    </row>
    <row r="16" spans="1:14" ht="15" customHeight="1" x14ac:dyDescent="0.35">
      <c r="B16" s="413"/>
      <c r="C16" s="120"/>
      <c r="D16" s="461"/>
      <c r="E16" s="10">
        <v>-99</v>
      </c>
      <c r="F16" s="195" t="s">
        <v>104</v>
      </c>
      <c r="G16" s="196"/>
      <c r="H16" s="85"/>
    </row>
    <row r="17" spans="1:14" ht="48.75" customHeight="1" x14ac:dyDescent="0.35">
      <c r="A17" s="352" t="s">
        <v>400</v>
      </c>
      <c r="B17" s="411" t="s">
        <v>396</v>
      </c>
      <c r="C17" s="97">
        <v>1</v>
      </c>
      <c r="D17" s="27" t="s">
        <v>405</v>
      </c>
      <c r="E17" s="664" t="s">
        <v>406</v>
      </c>
      <c r="F17" s="665"/>
      <c r="G17" s="202"/>
      <c r="H17" s="203"/>
    </row>
    <row r="18" spans="1:14" ht="53.25" customHeight="1" x14ac:dyDescent="0.35">
      <c r="A18" s="352" t="s">
        <v>401</v>
      </c>
      <c r="B18" s="414" t="s">
        <v>396</v>
      </c>
      <c r="C18" s="31">
        <v>2</v>
      </c>
      <c r="D18" s="6" t="s">
        <v>407</v>
      </c>
      <c r="E18" s="664" t="s">
        <v>408</v>
      </c>
      <c r="F18" s="665"/>
      <c r="G18" s="656"/>
      <c r="H18" s="657"/>
    </row>
    <row r="19" spans="1:14" ht="15" customHeight="1" x14ac:dyDescent="0.35">
      <c r="A19" s="352" t="s">
        <v>402</v>
      </c>
      <c r="B19" s="660" t="s">
        <v>396</v>
      </c>
      <c r="C19" s="459">
        <v>3</v>
      </c>
      <c r="D19" s="458" t="s">
        <v>409</v>
      </c>
      <c r="E19" s="7">
        <v>1</v>
      </c>
      <c r="F19" s="116" t="s">
        <v>410</v>
      </c>
      <c r="G19" s="188"/>
      <c r="H19" s="204"/>
      <c r="I19" s="187" t="s">
        <v>411</v>
      </c>
    </row>
    <row r="20" spans="1:14" ht="15" customHeight="1" x14ac:dyDescent="0.35">
      <c r="B20" s="661"/>
      <c r="C20" s="464"/>
      <c r="D20" s="454"/>
      <c r="E20" s="21">
        <v>2</v>
      </c>
      <c r="F20" s="81" t="s">
        <v>412</v>
      </c>
      <c r="G20" s="190" t="s">
        <v>211</v>
      </c>
      <c r="H20" s="191" t="s">
        <v>413</v>
      </c>
    </row>
    <row r="21" spans="1:14" ht="15" customHeight="1" x14ac:dyDescent="0.35">
      <c r="B21" s="411"/>
      <c r="C21" s="97"/>
      <c r="D21" s="454"/>
      <c r="E21" s="21">
        <v>-88</v>
      </c>
      <c r="F21" s="81" t="s">
        <v>103</v>
      </c>
      <c r="G21" s="193"/>
      <c r="H21" s="191"/>
    </row>
    <row r="22" spans="1:14" ht="24" customHeight="1" x14ac:dyDescent="0.35">
      <c r="B22" s="413"/>
      <c r="C22" s="120"/>
      <c r="D22" s="461"/>
      <c r="E22" s="10">
        <v>-99</v>
      </c>
      <c r="F22" s="195" t="s">
        <v>104</v>
      </c>
      <c r="G22" s="196"/>
      <c r="H22" s="85"/>
    </row>
    <row r="23" spans="1:14" ht="33" customHeight="1" x14ac:dyDescent="0.35">
      <c r="A23" s="352" t="s">
        <v>411</v>
      </c>
      <c r="B23" s="660" t="s">
        <v>396</v>
      </c>
      <c r="C23" s="459">
        <f>C4+1</f>
        <v>5</v>
      </c>
      <c r="D23" s="458" t="s">
        <v>414</v>
      </c>
      <c r="E23" s="7">
        <v>1</v>
      </c>
      <c r="F23" s="116" t="s">
        <v>29</v>
      </c>
      <c r="G23" s="205"/>
      <c r="H23" s="198"/>
      <c r="I23" s="187" t="s">
        <v>415</v>
      </c>
    </row>
    <row r="24" spans="1:14" ht="33" customHeight="1" x14ac:dyDescent="0.35">
      <c r="B24" s="661"/>
      <c r="C24" s="464"/>
      <c r="D24" s="454"/>
      <c r="E24" s="21">
        <v>2</v>
      </c>
      <c r="F24" s="81" t="s">
        <v>26</v>
      </c>
      <c r="G24" s="190"/>
      <c r="H24" s="32"/>
    </row>
    <row r="25" spans="1:14" ht="33" customHeight="1" x14ac:dyDescent="0.35">
      <c r="B25" s="411"/>
      <c r="C25" s="97"/>
      <c r="D25" s="454"/>
      <c r="E25" s="21">
        <v>-88</v>
      </c>
      <c r="F25" s="81" t="s">
        <v>103</v>
      </c>
      <c r="G25" s="193"/>
      <c r="H25" s="191"/>
      <c r="K25" s="189"/>
      <c r="L25" s="189"/>
      <c r="M25" s="189"/>
      <c r="N25" s="189"/>
    </row>
    <row r="26" spans="1:14" ht="23.25" customHeight="1" x14ac:dyDescent="0.35">
      <c r="B26" s="413"/>
      <c r="C26" s="120"/>
      <c r="D26" s="461"/>
      <c r="E26" s="10">
        <v>-99</v>
      </c>
      <c r="F26" s="195" t="s">
        <v>104</v>
      </c>
      <c r="G26" s="196"/>
      <c r="H26" s="85"/>
      <c r="K26" s="189"/>
      <c r="L26" s="189"/>
      <c r="M26" s="189"/>
      <c r="N26" s="189"/>
    </row>
    <row r="27" spans="1:14" ht="23.25" customHeight="1" x14ac:dyDescent="0.35">
      <c r="B27" s="660" t="s">
        <v>396</v>
      </c>
      <c r="C27" s="459">
        <f>C8+1</f>
        <v>7</v>
      </c>
      <c r="D27" s="458" t="s">
        <v>1125</v>
      </c>
      <c r="E27" s="7">
        <v>1</v>
      </c>
      <c r="F27" s="116" t="s">
        <v>29</v>
      </c>
      <c r="G27" s="205"/>
      <c r="H27" s="198"/>
      <c r="K27" s="189"/>
      <c r="L27" s="189"/>
      <c r="M27" s="189"/>
      <c r="N27" s="189"/>
    </row>
    <row r="28" spans="1:14" ht="23.25" customHeight="1" x14ac:dyDescent="0.35">
      <c r="B28" s="661"/>
      <c r="C28" s="464"/>
      <c r="D28" s="454"/>
      <c r="E28" s="21">
        <v>2</v>
      </c>
      <c r="F28" s="81" t="s">
        <v>26</v>
      </c>
      <c r="G28" s="190"/>
      <c r="H28" s="32"/>
      <c r="K28" s="189"/>
      <c r="L28" s="189"/>
      <c r="M28" s="189"/>
      <c r="N28" s="189"/>
    </row>
    <row r="29" spans="1:14" ht="23.25" customHeight="1" x14ac:dyDescent="0.35">
      <c r="B29" s="411"/>
      <c r="C29" s="97"/>
      <c r="D29" s="454"/>
      <c r="E29" s="21">
        <v>-88</v>
      </c>
      <c r="F29" s="81" t="s">
        <v>103</v>
      </c>
      <c r="G29" s="193"/>
      <c r="H29" s="191"/>
      <c r="K29" s="189"/>
      <c r="L29" s="189"/>
      <c r="M29" s="189"/>
      <c r="N29" s="189"/>
    </row>
    <row r="30" spans="1:14" ht="39" customHeight="1" x14ac:dyDescent="0.35">
      <c r="B30" s="413"/>
      <c r="C30" s="120"/>
      <c r="D30" s="461"/>
      <c r="E30" s="10">
        <v>-99</v>
      </c>
      <c r="F30" s="195" t="s">
        <v>104</v>
      </c>
      <c r="G30" s="196"/>
      <c r="H30" s="85"/>
      <c r="K30" s="189"/>
      <c r="L30" s="189"/>
      <c r="M30" s="189"/>
      <c r="N30" s="189"/>
    </row>
    <row r="31" spans="1:14" ht="15" customHeight="1" x14ac:dyDescent="0.35">
      <c r="A31" s="352" t="s">
        <v>417</v>
      </c>
      <c r="B31" s="660" t="s">
        <v>396</v>
      </c>
      <c r="C31" s="662">
        <v>11</v>
      </c>
      <c r="D31" s="458" t="s">
        <v>416</v>
      </c>
      <c r="E31" s="7">
        <v>1</v>
      </c>
      <c r="F31" s="20" t="s">
        <v>29</v>
      </c>
      <c r="G31" s="199"/>
      <c r="H31" s="191"/>
      <c r="I31" s="206" t="s">
        <v>417</v>
      </c>
    </row>
    <row r="32" spans="1:14" x14ac:dyDescent="0.35">
      <c r="B32" s="661"/>
      <c r="C32" s="663"/>
      <c r="D32" s="454"/>
      <c r="E32" s="21">
        <v>2</v>
      </c>
      <c r="F32" s="22" t="s">
        <v>26</v>
      </c>
      <c r="G32" s="190" t="s">
        <v>211</v>
      </c>
      <c r="H32" s="191" t="s">
        <v>628</v>
      </c>
    </row>
    <row r="33" spans="1:9" x14ac:dyDescent="0.35">
      <c r="B33" s="411"/>
      <c r="C33" s="97"/>
      <c r="D33" s="144" t="s">
        <v>1115</v>
      </c>
      <c r="E33" s="21">
        <v>-88</v>
      </c>
      <c r="F33" s="22" t="s">
        <v>103</v>
      </c>
      <c r="G33" s="199"/>
      <c r="H33" s="191"/>
    </row>
    <row r="34" spans="1:9" ht="15" customHeight="1" x14ac:dyDescent="0.35">
      <c r="B34" s="413"/>
      <c r="C34" s="120"/>
      <c r="D34" s="84"/>
      <c r="E34" s="10">
        <v>-99</v>
      </c>
      <c r="F34" s="2" t="s">
        <v>104</v>
      </c>
      <c r="G34" s="200"/>
      <c r="H34" s="85"/>
    </row>
    <row r="35" spans="1:9" ht="59.25" customHeight="1" x14ac:dyDescent="0.35">
      <c r="A35" s="352" t="s">
        <v>420</v>
      </c>
      <c r="B35" s="415" t="s">
        <v>396</v>
      </c>
      <c r="C35" s="86">
        <v>12</v>
      </c>
      <c r="D35" s="30" t="s">
        <v>418</v>
      </c>
      <c r="E35" s="658" t="s">
        <v>419</v>
      </c>
      <c r="F35" s="659"/>
      <c r="G35" s="656"/>
      <c r="H35" s="657"/>
      <c r="I35" s="187" t="s">
        <v>420</v>
      </c>
    </row>
    <row r="37" spans="1:9" x14ac:dyDescent="0.35">
      <c r="B37" s="135"/>
      <c r="I37" s="135"/>
    </row>
    <row r="44" spans="1:9" x14ac:dyDescent="0.35">
      <c r="B44" s="135"/>
      <c r="I44" s="135"/>
    </row>
  </sheetData>
  <mergeCells count="29">
    <mergeCell ref="B1:H2"/>
    <mergeCell ref="B3:C3"/>
    <mergeCell ref="G3:H3"/>
    <mergeCell ref="B4:B5"/>
    <mergeCell ref="C4:C5"/>
    <mergeCell ref="D4:D5"/>
    <mergeCell ref="B8:B9"/>
    <mergeCell ref="C8:C9"/>
    <mergeCell ref="D8:D11"/>
    <mergeCell ref="B12:B14"/>
    <mergeCell ref="C12:C14"/>
    <mergeCell ref="D12:D16"/>
    <mergeCell ref="E17:F17"/>
    <mergeCell ref="E18:F18"/>
    <mergeCell ref="G18:H18"/>
    <mergeCell ref="B19:B20"/>
    <mergeCell ref="C19:C20"/>
    <mergeCell ref="D19:D22"/>
    <mergeCell ref="G35:H35"/>
    <mergeCell ref="E35:F35"/>
    <mergeCell ref="B23:B24"/>
    <mergeCell ref="C23:C24"/>
    <mergeCell ref="D23:D26"/>
    <mergeCell ref="B31:B32"/>
    <mergeCell ref="C31:C32"/>
    <mergeCell ref="D31:D32"/>
    <mergeCell ref="B27:B28"/>
    <mergeCell ref="C27:C28"/>
    <mergeCell ref="D27:D30"/>
  </mergeCells>
  <pageMargins left="0.7" right="0.7" top="0.75" bottom="0.75" header="0.3" footer="0.3"/>
  <pageSetup orientation="portrait" r:id="rId1"/>
  <headerFooter>
    <oddHeader>&amp;C&amp;"-,Bold"INCOME</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3"/>
  <sheetViews>
    <sheetView view="pageLayout" topLeftCell="B4" zoomScaleNormal="100" workbookViewId="0">
      <selection activeCell="D30" sqref="D30"/>
    </sheetView>
  </sheetViews>
  <sheetFormatPr defaultColWidth="9.1796875" defaultRowHeight="14.5" x14ac:dyDescent="0.35"/>
  <cols>
    <col min="1" max="1" width="0" style="135" hidden="1" customWidth="1"/>
    <col min="2" max="2" width="4.7265625" style="135" customWidth="1"/>
    <col min="3" max="3" width="13.1796875" style="135" customWidth="1"/>
    <col min="4" max="4" width="24.26953125" style="135" customWidth="1"/>
    <col min="5" max="5" width="36.81640625" style="135" customWidth="1"/>
    <col min="6" max="6" width="29.453125" style="135" customWidth="1"/>
    <col min="7" max="7" width="5" style="135" bestFit="1" customWidth="1"/>
    <col min="8" max="8" width="58.1796875" style="135" bestFit="1" customWidth="1"/>
    <col min="9" max="16384" width="9.1796875" style="135"/>
  </cols>
  <sheetData>
    <row r="1" spans="2:7" ht="15" x14ac:dyDescent="0.35">
      <c r="B1" s="674" t="s">
        <v>421</v>
      </c>
      <c r="C1" s="674"/>
      <c r="D1" s="674"/>
      <c r="E1" s="674"/>
      <c r="F1" s="674"/>
      <c r="G1" s="207"/>
    </row>
    <row r="2" spans="2:7" x14ac:dyDescent="0.35">
      <c r="B2" s="182"/>
      <c r="C2" s="182"/>
      <c r="D2" s="182"/>
      <c r="E2" s="182"/>
      <c r="F2" s="182"/>
      <c r="G2" s="149"/>
    </row>
    <row r="3" spans="2:7" ht="139.5" customHeight="1" x14ac:dyDescent="0.35">
      <c r="B3" s="675" t="s">
        <v>422</v>
      </c>
      <c r="C3" s="676"/>
      <c r="D3" s="676"/>
      <c r="E3" s="676"/>
      <c r="F3" s="677"/>
      <c r="G3" s="208"/>
    </row>
    <row r="4" spans="2:7" x14ac:dyDescent="0.35">
      <c r="B4" s="209" t="s">
        <v>423</v>
      </c>
      <c r="C4" s="678" t="s">
        <v>424</v>
      </c>
      <c r="D4" s="678"/>
      <c r="E4" s="678"/>
      <c r="F4" s="679"/>
    </row>
    <row r="5" spans="2:7" x14ac:dyDescent="0.35">
      <c r="B5" s="210" t="s">
        <v>56</v>
      </c>
      <c r="C5" s="671" t="s">
        <v>425</v>
      </c>
      <c r="D5" s="671"/>
      <c r="E5" s="671"/>
      <c r="F5" s="672"/>
    </row>
    <row r="6" spans="2:7" x14ac:dyDescent="0.35">
      <c r="B6" s="210" t="s">
        <v>426</v>
      </c>
      <c r="C6" s="671" t="s">
        <v>427</v>
      </c>
      <c r="D6" s="671"/>
      <c r="E6" s="671"/>
      <c r="F6" s="672"/>
    </row>
    <row r="7" spans="2:7" x14ac:dyDescent="0.35">
      <c r="B7" s="210" t="s">
        <v>428</v>
      </c>
      <c r="C7" s="671" t="s">
        <v>429</v>
      </c>
      <c r="D7" s="671"/>
      <c r="E7" s="671"/>
      <c r="F7" s="672"/>
    </row>
    <row r="8" spans="2:7" x14ac:dyDescent="0.35">
      <c r="B8" s="210" t="s">
        <v>212</v>
      </c>
      <c r="C8" s="671" t="s">
        <v>430</v>
      </c>
      <c r="D8" s="671"/>
      <c r="E8" s="671"/>
      <c r="F8" s="672"/>
    </row>
    <row r="9" spans="2:7" x14ac:dyDescent="0.35">
      <c r="B9" s="210" t="s">
        <v>431</v>
      </c>
      <c r="C9" s="671" t="s">
        <v>432</v>
      </c>
      <c r="D9" s="671"/>
      <c r="E9" s="671"/>
      <c r="F9" s="672"/>
    </row>
    <row r="10" spans="2:7" x14ac:dyDescent="0.35">
      <c r="B10" s="210" t="s">
        <v>433</v>
      </c>
      <c r="C10" s="671" t="s">
        <v>434</v>
      </c>
      <c r="D10" s="671"/>
      <c r="E10" s="671"/>
      <c r="F10" s="672"/>
    </row>
    <row r="11" spans="2:7" x14ac:dyDescent="0.35">
      <c r="B11" s="210" t="s">
        <v>435</v>
      </c>
      <c r="C11" s="671" t="s">
        <v>436</v>
      </c>
      <c r="D11" s="671"/>
      <c r="E11" s="671"/>
      <c r="F11" s="672"/>
    </row>
    <row r="12" spans="2:7" x14ac:dyDescent="0.35">
      <c r="B12" s="210" t="s">
        <v>437</v>
      </c>
      <c r="C12" s="671" t="s">
        <v>438</v>
      </c>
      <c r="D12" s="671"/>
      <c r="E12" s="671"/>
      <c r="F12" s="672"/>
    </row>
    <row r="13" spans="2:7" x14ac:dyDescent="0.35">
      <c r="B13" s="210" t="s">
        <v>439</v>
      </c>
      <c r="C13" s="671" t="s">
        <v>440</v>
      </c>
      <c r="D13" s="671"/>
      <c r="E13" s="671"/>
      <c r="F13" s="672"/>
    </row>
    <row r="14" spans="2:7" x14ac:dyDescent="0.35">
      <c r="B14" s="210" t="s">
        <v>441</v>
      </c>
      <c r="C14" s="671" t="s">
        <v>442</v>
      </c>
      <c r="D14" s="671"/>
      <c r="E14" s="671"/>
      <c r="F14" s="672"/>
    </row>
    <row r="15" spans="2:7" x14ac:dyDescent="0.35">
      <c r="B15" s="210" t="s">
        <v>443</v>
      </c>
      <c r="C15" s="671" t="s">
        <v>965</v>
      </c>
      <c r="D15" s="671"/>
      <c r="E15" s="671"/>
      <c r="F15" s="672"/>
    </row>
    <row r="16" spans="2:7" x14ac:dyDescent="0.35">
      <c r="B16" s="210" t="s">
        <v>444</v>
      </c>
      <c r="C16" s="671" t="s">
        <v>445</v>
      </c>
      <c r="D16" s="671"/>
      <c r="E16" s="671"/>
      <c r="F16" s="672"/>
    </row>
    <row r="17" spans="1:6" ht="17.25" customHeight="1" x14ac:dyDescent="0.35">
      <c r="B17" s="210" t="s">
        <v>446</v>
      </c>
      <c r="C17" s="671" t="s">
        <v>447</v>
      </c>
      <c r="D17" s="671"/>
      <c r="E17" s="671"/>
      <c r="F17" s="672"/>
    </row>
    <row r="18" spans="1:6" ht="15" customHeight="1" x14ac:dyDescent="0.35">
      <c r="B18" s="210" t="s">
        <v>448</v>
      </c>
      <c r="C18" s="671" t="s">
        <v>449</v>
      </c>
      <c r="D18" s="671"/>
      <c r="E18" s="671"/>
      <c r="F18" s="672"/>
    </row>
    <row r="19" spans="1:6" ht="15" customHeight="1" x14ac:dyDescent="0.35">
      <c r="B19" s="210" t="s">
        <v>450</v>
      </c>
      <c r="C19" s="671" t="s">
        <v>451</v>
      </c>
      <c r="D19" s="671"/>
      <c r="E19" s="671"/>
      <c r="F19" s="672"/>
    </row>
    <row r="20" spans="1:6" ht="15" customHeight="1" x14ac:dyDescent="0.35">
      <c r="B20" s="210" t="s">
        <v>452</v>
      </c>
      <c r="C20" s="671" t="s">
        <v>453</v>
      </c>
      <c r="D20" s="671"/>
      <c r="E20" s="671"/>
      <c r="F20" s="672"/>
    </row>
    <row r="21" spans="1:6" ht="15" customHeight="1" x14ac:dyDescent="0.35">
      <c r="B21" s="210" t="s">
        <v>454</v>
      </c>
      <c r="C21" s="671" t="s">
        <v>455</v>
      </c>
      <c r="D21" s="671"/>
      <c r="E21" s="671"/>
      <c r="F21" s="672"/>
    </row>
    <row r="22" spans="1:6" ht="15" customHeight="1" x14ac:dyDescent="0.35">
      <c r="B22" s="210" t="s">
        <v>456</v>
      </c>
      <c r="C22" s="671" t="s">
        <v>457</v>
      </c>
      <c r="D22" s="671"/>
      <c r="E22" s="671"/>
      <c r="F22" s="672"/>
    </row>
    <row r="23" spans="1:6" ht="15" customHeight="1" x14ac:dyDescent="0.35">
      <c r="B23" s="210" t="s">
        <v>458</v>
      </c>
      <c r="C23" s="671" t="s">
        <v>459</v>
      </c>
      <c r="D23" s="671"/>
      <c r="E23" s="671"/>
      <c r="F23" s="672"/>
    </row>
    <row r="24" spans="1:6" ht="15" customHeight="1" x14ac:dyDescent="0.35">
      <c r="B24" s="210" t="s">
        <v>460</v>
      </c>
      <c r="C24" s="671" t="s">
        <v>461</v>
      </c>
      <c r="D24" s="671"/>
      <c r="E24" s="671"/>
      <c r="F24" s="672"/>
    </row>
    <row r="25" spans="1:6" ht="19.5" customHeight="1" x14ac:dyDescent="0.35">
      <c r="B25" s="211" t="s">
        <v>462</v>
      </c>
      <c r="C25" s="212" t="s">
        <v>463</v>
      </c>
      <c r="D25" s="212"/>
      <c r="E25" s="212"/>
      <c r="F25" s="213"/>
    </row>
    <row r="26" spans="1:6" x14ac:dyDescent="0.35">
      <c r="B26" s="673" t="s">
        <v>464</v>
      </c>
      <c r="C26" s="673"/>
      <c r="D26" s="673"/>
      <c r="E26" s="673"/>
      <c r="F26" s="673"/>
    </row>
    <row r="27" spans="1:6" ht="17.25" customHeight="1" x14ac:dyDescent="0.35">
      <c r="B27" s="669" t="s">
        <v>465</v>
      </c>
      <c r="C27" s="669"/>
      <c r="D27" s="214" t="s">
        <v>466</v>
      </c>
      <c r="E27" s="214" t="s">
        <v>467</v>
      </c>
      <c r="F27" s="215" t="s">
        <v>468</v>
      </c>
    </row>
    <row r="28" spans="1:6" ht="22.5" customHeight="1" x14ac:dyDescent="0.35">
      <c r="B28" s="670" t="s">
        <v>469</v>
      </c>
      <c r="C28" s="670"/>
      <c r="D28" s="452" t="s">
        <v>470</v>
      </c>
      <c r="E28" s="454" t="s">
        <v>471</v>
      </c>
      <c r="F28" s="454" t="s">
        <v>472</v>
      </c>
    </row>
    <row r="29" spans="1:6" ht="81" customHeight="1" x14ac:dyDescent="0.35">
      <c r="B29" s="553"/>
      <c r="C29" s="553"/>
      <c r="D29" s="455"/>
      <c r="E29" s="461"/>
      <c r="F29" s="461"/>
    </row>
    <row r="30" spans="1:6" ht="43.5" customHeight="1" x14ac:dyDescent="0.35">
      <c r="B30" s="668"/>
      <c r="C30" s="668"/>
      <c r="D30" s="216" t="s">
        <v>473</v>
      </c>
      <c r="E30" s="216" t="s">
        <v>474</v>
      </c>
      <c r="F30" s="217" t="s">
        <v>475</v>
      </c>
    </row>
    <row r="31" spans="1:6" ht="22" customHeight="1" x14ac:dyDescent="0.35">
      <c r="A31" s="218" t="s">
        <v>476</v>
      </c>
      <c r="B31" s="219" t="s">
        <v>477</v>
      </c>
      <c r="C31" s="220"/>
      <c r="D31" s="220"/>
      <c r="E31" s="221" t="s">
        <v>478</v>
      </c>
      <c r="F31" s="221"/>
    </row>
    <row r="32" spans="1:6" ht="22" customHeight="1" x14ac:dyDescent="0.35">
      <c r="A32" s="218" t="s">
        <v>476</v>
      </c>
      <c r="B32" s="219" t="s">
        <v>479</v>
      </c>
      <c r="C32" s="220"/>
      <c r="D32" s="220"/>
      <c r="E32" s="221" t="s">
        <v>478</v>
      </c>
      <c r="F32" s="221"/>
    </row>
    <row r="33" spans="1:11" ht="22" customHeight="1" x14ac:dyDescent="0.35">
      <c r="A33" s="218" t="s">
        <v>476</v>
      </c>
      <c r="B33" s="219" t="s">
        <v>480</v>
      </c>
      <c r="C33" s="220"/>
      <c r="D33" s="220"/>
      <c r="E33" s="221" t="s">
        <v>478</v>
      </c>
      <c r="F33" s="221"/>
    </row>
    <row r="34" spans="1:11" ht="22" customHeight="1" x14ac:dyDescent="0.35">
      <c r="A34" s="218" t="s">
        <v>476</v>
      </c>
      <c r="B34" s="219" t="s">
        <v>481</v>
      </c>
      <c r="C34" s="220"/>
      <c r="D34" s="220"/>
      <c r="E34" s="221" t="s">
        <v>478</v>
      </c>
      <c r="F34" s="221"/>
      <c r="I34" s="222"/>
      <c r="J34" s="222"/>
      <c r="K34" s="222"/>
    </row>
    <row r="35" spans="1:11" ht="22" customHeight="1" x14ac:dyDescent="0.35">
      <c r="A35" s="218" t="s">
        <v>476</v>
      </c>
      <c r="B35" s="219" t="s">
        <v>482</v>
      </c>
      <c r="C35" s="220"/>
      <c r="D35" s="220"/>
      <c r="E35" s="221" t="s">
        <v>478</v>
      </c>
      <c r="F35" s="221"/>
      <c r="I35" s="222"/>
      <c r="J35" s="222"/>
      <c r="K35" s="222"/>
    </row>
    <row r="36" spans="1:11" ht="22" customHeight="1" x14ac:dyDescent="0.35">
      <c r="A36" s="218" t="s">
        <v>476</v>
      </c>
      <c r="B36" s="219" t="s">
        <v>483</v>
      </c>
      <c r="C36" s="220"/>
      <c r="D36" s="220"/>
      <c r="E36" s="221" t="s">
        <v>478</v>
      </c>
      <c r="F36" s="221"/>
      <c r="I36" s="222"/>
      <c r="J36" s="222"/>
      <c r="K36" s="222"/>
    </row>
    <row r="37" spans="1:11" ht="22" customHeight="1" x14ac:dyDescent="0.35">
      <c r="A37" s="218" t="s">
        <v>476</v>
      </c>
      <c r="B37" s="219" t="s">
        <v>484</v>
      </c>
      <c r="C37" s="220"/>
      <c r="D37" s="220"/>
      <c r="E37" s="221" t="s">
        <v>478</v>
      </c>
      <c r="F37" s="221"/>
      <c r="I37" s="222"/>
      <c r="J37" s="222"/>
      <c r="K37" s="222"/>
    </row>
    <row r="38" spans="1:11" ht="22" customHeight="1" x14ac:dyDescent="0.35">
      <c r="A38" s="218" t="s">
        <v>476</v>
      </c>
      <c r="B38" s="219" t="s">
        <v>485</v>
      </c>
      <c r="C38" s="220"/>
      <c r="D38" s="220"/>
      <c r="E38" s="221" t="s">
        <v>478</v>
      </c>
      <c r="F38" s="221"/>
      <c r="I38" s="222"/>
      <c r="J38" s="222"/>
      <c r="K38" s="222"/>
    </row>
    <row r="39" spans="1:11" s="149" customFormat="1" ht="22" customHeight="1" x14ac:dyDescent="0.3">
      <c r="A39" s="186" t="s">
        <v>476</v>
      </c>
      <c r="B39" s="219" t="s">
        <v>486</v>
      </c>
      <c r="C39" s="220"/>
      <c r="D39" s="220"/>
      <c r="E39" s="221" t="s">
        <v>478</v>
      </c>
      <c r="F39" s="221"/>
      <c r="I39" s="222"/>
      <c r="J39" s="222"/>
      <c r="K39" s="222"/>
    </row>
    <row r="40" spans="1:11" ht="22" customHeight="1" x14ac:dyDescent="0.35">
      <c r="A40" s="218" t="s">
        <v>476</v>
      </c>
      <c r="B40" s="219" t="s">
        <v>487</v>
      </c>
      <c r="C40" s="220"/>
      <c r="D40" s="220"/>
      <c r="E40" s="221" t="s">
        <v>478</v>
      </c>
      <c r="F40" s="221"/>
      <c r="I40" s="222"/>
      <c r="J40" s="222"/>
      <c r="K40" s="222"/>
    </row>
    <row r="41" spans="1:11" x14ac:dyDescent="0.35">
      <c r="B41" s="223"/>
      <c r="C41" s="223"/>
      <c r="D41" s="223"/>
      <c r="E41" s="223"/>
      <c r="F41" s="223"/>
      <c r="H41" s="222"/>
      <c r="I41" s="222"/>
    </row>
    <row r="42" spans="1:11" ht="27" customHeight="1" x14ac:dyDescent="0.35"/>
    <row r="43" spans="1:11" ht="18" customHeight="1" x14ac:dyDescent="0.35"/>
  </sheetData>
  <mergeCells count="31">
    <mergeCell ref="C7:F7"/>
    <mergeCell ref="B1:F1"/>
    <mergeCell ref="B3:F3"/>
    <mergeCell ref="C4:F4"/>
    <mergeCell ref="C5:F5"/>
    <mergeCell ref="C6:F6"/>
    <mergeCell ref="C19:F19"/>
    <mergeCell ref="C8:F8"/>
    <mergeCell ref="C9:F9"/>
    <mergeCell ref="C10:F10"/>
    <mergeCell ref="C11:F11"/>
    <mergeCell ref="C12:F12"/>
    <mergeCell ref="C13:F13"/>
    <mergeCell ref="C14:F14"/>
    <mergeCell ref="C15:F15"/>
    <mergeCell ref="C16:F16"/>
    <mergeCell ref="C17:F17"/>
    <mergeCell ref="C18:F18"/>
    <mergeCell ref="F28:F29"/>
    <mergeCell ref="B29:C29"/>
    <mergeCell ref="C20:F20"/>
    <mergeCell ref="C21:F21"/>
    <mergeCell ref="C22:F22"/>
    <mergeCell ref="C23:F23"/>
    <mergeCell ref="C24:F24"/>
    <mergeCell ref="B26:F26"/>
    <mergeCell ref="B30:C30"/>
    <mergeCell ref="B27:C27"/>
    <mergeCell ref="B28:C28"/>
    <mergeCell ref="D28:D29"/>
    <mergeCell ref="E28:E29"/>
  </mergeCell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4"/>
  <sheetViews>
    <sheetView view="pageLayout" topLeftCell="B1" zoomScaleNormal="100" workbookViewId="0">
      <selection activeCell="D1" sqref="D1"/>
    </sheetView>
  </sheetViews>
  <sheetFormatPr defaultColWidth="9.1796875" defaultRowHeight="13" x14ac:dyDescent="0.35"/>
  <cols>
    <col min="1" max="1" width="0" style="362" hidden="1" customWidth="1"/>
    <col min="2" max="2" width="2.1796875" style="82" customWidth="1"/>
    <col min="3" max="3" width="4.7265625" style="82" customWidth="1"/>
    <col min="4" max="4" width="39.453125" style="82" customWidth="1"/>
    <col min="5" max="5" width="3.7265625" style="234" customWidth="1"/>
    <col min="6" max="6" width="29" style="82" customWidth="1"/>
    <col min="7" max="7" width="2.81640625" style="82" customWidth="1"/>
    <col min="8" max="8" width="5" style="82" customWidth="1"/>
    <col min="9" max="9" width="9.1796875" style="82" customWidth="1"/>
    <col min="10" max="16384" width="9.1796875" style="82"/>
  </cols>
  <sheetData>
    <row r="1" spans="1:8" ht="16.5" x14ac:dyDescent="0.35">
      <c r="D1" s="233" t="s">
        <v>528</v>
      </c>
    </row>
    <row r="2" spans="1:8" ht="55.5" customHeight="1" x14ac:dyDescent="0.35">
      <c r="B2" s="682" t="s">
        <v>515</v>
      </c>
      <c r="C2" s="683"/>
      <c r="D2" s="683"/>
      <c r="E2" s="683"/>
      <c r="F2" s="683"/>
      <c r="G2" s="683"/>
      <c r="H2" s="684"/>
    </row>
    <row r="3" spans="1:8" x14ac:dyDescent="0.35">
      <c r="B3" s="399"/>
      <c r="C3" s="399"/>
      <c r="D3" s="399"/>
      <c r="E3" s="399"/>
      <c r="F3" s="400"/>
    </row>
    <row r="4" spans="1:8" x14ac:dyDescent="0.35">
      <c r="B4" s="666" t="s">
        <v>488</v>
      </c>
      <c r="C4" s="680"/>
      <c r="D4" s="312"/>
      <c r="E4" s="681" t="s">
        <v>489</v>
      </c>
      <c r="F4" s="483"/>
      <c r="G4" s="666" t="s">
        <v>257</v>
      </c>
      <c r="H4" s="667"/>
    </row>
    <row r="5" spans="1:8" x14ac:dyDescent="0.35">
      <c r="A5" s="362" t="s">
        <v>722</v>
      </c>
      <c r="B5" s="490" t="s">
        <v>490</v>
      </c>
      <c r="C5" s="685"/>
      <c r="D5" s="685"/>
      <c r="E5" s="685"/>
      <c r="F5" s="685"/>
    </row>
    <row r="6" spans="1:8" ht="21" x14ac:dyDescent="0.25">
      <c r="A6" s="352" t="s">
        <v>873</v>
      </c>
      <c r="B6" s="118" t="s">
        <v>476</v>
      </c>
      <c r="C6" s="20">
        <v>16</v>
      </c>
      <c r="D6" s="463" t="s">
        <v>491</v>
      </c>
      <c r="E6" s="7">
        <v>1</v>
      </c>
      <c r="F6" s="20" t="s">
        <v>29</v>
      </c>
    </row>
    <row r="7" spans="1:8" ht="42.75" customHeight="1" x14ac:dyDescent="0.3">
      <c r="B7" s="181"/>
      <c r="C7" s="2"/>
      <c r="D7" s="456"/>
      <c r="E7" s="10">
        <v>2</v>
      </c>
      <c r="F7" s="2" t="s">
        <v>26</v>
      </c>
      <c r="G7" s="149" t="s">
        <v>315</v>
      </c>
      <c r="H7" s="224" t="s">
        <v>966</v>
      </c>
    </row>
    <row r="8" spans="1:8" ht="30.75" customHeight="1" x14ac:dyDescent="0.25">
      <c r="A8" s="352" t="s">
        <v>874</v>
      </c>
      <c r="B8" s="225" t="s">
        <v>476</v>
      </c>
      <c r="C8" s="251">
        <v>16</v>
      </c>
      <c r="D8" s="251" t="s">
        <v>492</v>
      </c>
      <c r="E8" s="490" t="s">
        <v>263</v>
      </c>
      <c r="F8" s="491"/>
    </row>
    <row r="9" spans="1:8" ht="21" x14ac:dyDescent="0.25">
      <c r="A9" s="352" t="s">
        <v>875</v>
      </c>
      <c r="B9" s="162" t="s">
        <v>476</v>
      </c>
      <c r="C9" s="96">
        <v>17</v>
      </c>
      <c r="D9" s="463" t="s">
        <v>493</v>
      </c>
      <c r="E9" s="7">
        <v>1</v>
      </c>
      <c r="F9" s="20" t="s">
        <v>29</v>
      </c>
    </row>
    <row r="10" spans="1:8" ht="20.25" customHeight="1" x14ac:dyDescent="0.35">
      <c r="B10" s="181"/>
      <c r="C10" s="120"/>
      <c r="D10" s="456"/>
      <c r="E10" s="10">
        <v>2</v>
      </c>
      <c r="F10" s="2" t="s">
        <v>26</v>
      </c>
      <c r="G10" s="58" t="s">
        <v>315</v>
      </c>
      <c r="H10" s="113" t="s">
        <v>967</v>
      </c>
    </row>
    <row r="11" spans="1:8" ht="32.25" customHeight="1" x14ac:dyDescent="0.25">
      <c r="A11" s="352" t="s">
        <v>876</v>
      </c>
      <c r="B11" s="225" t="s">
        <v>476</v>
      </c>
      <c r="C11" s="226">
        <v>17</v>
      </c>
      <c r="D11" s="251" t="s">
        <v>494</v>
      </c>
      <c r="E11" s="490" t="s">
        <v>263</v>
      </c>
      <c r="F11" s="491"/>
    </row>
    <row r="12" spans="1:8" x14ac:dyDescent="0.25">
      <c r="A12" s="352" t="s">
        <v>877</v>
      </c>
      <c r="B12" s="162" t="s">
        <v>476</v>
      </c>
      <c r="C12" s="96">
        <f>C9+1</f>
        <v>18</v>
      </c>
      <c r="D12" s="463" t="s">
        <v>495</v>
      </c>
      <c r="E12" s="7">
        <v>1</v>
      </c>
      <c r="F12" s="20" t="s">
        <v>29</v>
      </c>
    </row>
    <row r="13" spans="1:8" ht="27" customHeight="1" x14ac:dyDescent="0.35">
      <c r="B13" s="181"/>
      <c r="C13" s="120"/>
      <c r="D13" s="456"/>
      <c r="E13" s="10">
        <v>2</v>
      </c>
      <c r="F13" s="2" t="s">
        <v>26</v>
      </c>
      <c r="G13" s="58" t="s">
        <v>315</v>
      </c>
      <c r="H13" s="113" t="s">
        <v>968</v>
      </c>
    </row>
    <row r="14" spans="1:8" ht="21.75" customHeight="1" x14ac:dyDescent="0.25">
      <c r="A14" s="352" t="s">
        <v>878</v>
      </c>
      <c r="B14" s="225" t="s">
        <v>476</v>
      </c>
      <c r="C14" s="226">
        <f>C12</f>
        <v>18</v>
      </c>
      <c r="D14" s="251" t="s">
        <v>496</v>
      </c>
      <c r="E14" s="490" t="s">
        <v>263</v>
      </c>
      <c r="F14" s="491"/>
    </row>
    <row r="15" spans="1:8" ht="162.75" customHeight="1" x14ac:dyDescent="0.25">
      <c r="A15" s="352" t="s">
        <v>879</v>
      </c>
      <c r="B15" s="225" t="s">
        <v>476</v>
      </c>
      <c r="C15" s="226">
        <v>19</v>
      </c>
      <c r="D15" s="20" t="s">
        <v>497</v>
      </c>
      <c r="E15" s="540" t="s">
        <v>527</v>
      </c>
      <c r="F15" s="541"/>
    </row>
    <row r="16" spans="1:8" ht="19.5" customHeight="1" x14ac:dyDescent="0.25">
      <c r="A16" s="352"/>
      <c r="B16" s="162" t="s">
        <v>498</v>
      </c>
      <c r="C16" s="96">
        <f>C12+1</f>
        <v>19</v>
      </c>
      <c r="D16" s="686" t="s">
        <v>1090</v>
      </c>
      <c r="E16" s="228">
        <v>1</v>
      </c>
      <c r="F16" s="20" t="s">
        <v>1091</v>
      </c>
    </row>
    <row r="17" spans="1:7" ht="19.5" customHeight="1" x14ac:dyDescent="0.25">
      <c r="A17" s="352"/>
      <c r="B17" s="164"/>
      <c r="C17" s="97"/>
      <c r="D17" s="687"/>
      <c r="E17" s="229">
        <f t="shared" ref="E17:E20" si="0">E16+1</f>
        <v>2</v>
      </c>
      <c r="F17" s="22" t="s">
        <v>1092</v>
      </c>
    </row>
    <row r="18" spans="1:7" ht="19.5" customHeight="1" x14ac:dyDescent="0.25">
      <c r="A18" s="352"/>
      <c r="B18" s="164"/>
      <c r="C18" s="97"/>
      <c r="D18" s="230"/>
      <c r="E18" s="229">
        <f t="shared" si="0"/>
        <v>3</v>
      </c>
      <c r="F18" s="22" t="s">
        <v>1093</v>
      </c>
    </row>
    <row r="19" spans="1:7" ht="19.5" customHeight="1" x14ac:dyDescent="0.25">
      <c r="A19" s="352"/>
      <c r="B19" s="164"/>
      <c r="C19" s="97"/>
      <c r="D19" s="230"/>
      <c r="E19" s="229">
        <f t="shared" si="0"/>
        <v>4</v>
      </c>
      <c r="F19" s="22" t="s">
        <v>1112</v>
      </c>
    </row>
    <row r="20" spans="1:7" ht="30.75" customHeight="1" x14ac:dyDescent="0.25">
      <c r="A20" s="352"/>
      <c r="B20" s="164"/>
      <c r="C20" s="97"/>
      <c r="D20" s="230"/>
      <c r="E20" s="446">
        <f t="shared" si="0"/>
        <v>5</v>
      </c>
      <c r="F20" s="447" t="s">
        <v>1122</v>
      </c>
    </row>
    <row r="21" spans="1:7" ht="19.5" customHeight="1" x14ac:dyDescent="0.25">
      <c r="A21" s="352"/>
      <c r="B21" s="164"/>
      <c r="C21" s="97"/>
      <c r="D21" s="230"/>
      <c r="E21" s="229">
        <v>-66</v>
      </c>
      <c r="F21" s="22" t="s">
        <v>514</v>
      </c>
    </row>
    <row r="22" spans="1:7" ht="19.5" customHeight="1" x14ac:dyDescent="0.25">
      <c r="A22" s="352"/>
      <c r="B22" s="164"/>
      <c r="C22" s="97"/>
      <c r="D22" s="230"/>
      <c r="E22" s="229">
        <v>-88</v>
      </c>
      <c r="F22" s="22" t="s">
        <v>103</v>
      </c>
    </row>
    <row r="23" spans="1:7" ht="33" customHeight="1" x14ac:dyDescent="0.25">
      <c r="A23" s="352"/>
      <c r="B23" s="164"/>
      <c r="C23" s="120"/>
      <c r="D23" s="227"/>
      <c r="E23" s="231">
        <v>-99</v>
      </c>
      <c r="F23" s="2" t="s">
        <v>104</v>
      </c>
    </row>
    <row r="24" spans="1:7" ht="21" x14ac:dyDescent="0.25">
      <c r="A24" s="352" t="s">
        <v>880</v>
      </c>
      <c r="B24" s="162" t="s">
        <v>498</v>
      </c>
      <c r="C24" s="96">
        <v>20</v>
      </c>
      <c r="D24" s="686" t="s">
        <v>499</v>
      </c>
      <c r="E24" s="7">
        <v>1</v>
      </c>
      <c r="F24" s="20" t="s">
        <v>29</v>
      </c>
    </row>
    <row r="25" spans="1:7" x14ac:dyDescent="0.35">
      <c r="B25" s="164"/>
      <c r="C25" s="97"/>
      <c r="D25" s="687"/>
      <c r="E25" s="21">
        <v>2</v>
      </c>
      <c r="F25" s="22" t="s">
        <v>26</v>
      </c>
      <c r="G25" s="58"/>
    </row>
    <row r="26" spans="1:7" x14ac:dyDescent="0.35">
      <c r="B26" s="164"/>
      <c r="C26" s="97"/>
      <c r="D26" s="687"/>
      <c r="E26" s="21">
        <v>-88</v>
      </c>
      <c r="F26" s="22" t="s">
        <v>103</v>
      </c>
    </row>
    <row r="27" spans="1:7" x14ac:dyDescent="0.35">
      <c r="B27" s="181"/>
      <c r="C27" s="120"/>
      <c r="D27" s="227"/>
      <c r="E27" s="10">
        <v>-99</v>
      </c>
      <c r="F27" s="2" t="s">
        <v>104</v>
      </c>
    </row>
    <row r="28" spans="1:7" x14ac:dyDescent="0.25">
      <c r="A28" s="352" t="s">
        <v>881</v>
      </c>
      <c r="B28" s="162" t="s">
        <v>498</v>
      </c>
      <c r="C28" s="96">
        <f>C24+1</f>
        <v>21</v>
      </c>
      <c r="D28" s="686" t="s">
        <v>500</v>
      </c>
      <c r="E28" s="228">
        <v>1</v>
      </c>
      <c r="F28" s="20" t="s">
        <v>501</v>
      </c>
    </row>
    <row r="29" spans="1:7" x14ac:dyDescent="0.35">
      <c r="B29" s="164"/>
      <c r="C29" s="97"/>
      <c r="D29" s="687"/>
      <c r="E29" s="229">
        <f t="shared" ref="E29:E40" si="1">E28+1</f>
        <v>2</v>
      </c>
      <c r="F29" s="22" t="s">
        <v>502</v>
      </c>
    </row>
    <row r="30" spans="1:7" x14ac:dyDescent="0.35">
      <c r="B30" s="164"/>
      <c r="C30" s="97"/>
      <c r="D30" s="230"/>
      <c r="E30" s="229">
        <f t="shared" si="1"/>
        <v>3</v>
      </c>
      <c r="F30" s="22" t="s">
        <v>503</v>
      </c>
    </row>
    <row r="31" spans="1:7" x14ac:dyDescent="0.35">
      <c r="B31" s="164"/>
      <c r="C31" s="97"/>
      <c r="D31" s="230"/>
      <c r="E31" s="229">
        <f t="shared" si="1"/>
        <v>4</v>
      </c>
      <c r="F31" s="22" t="s">
        <v>504</v>
      </c>
    </row>
    <row r="32" spans="1:7" x14ac:dyDescent="0.35">
      <c r="B32" s="164"/>
      <c r="C32" s="97"/>
      <c r="D32" s="230"/>
      <c r="E32" s="229">
        <f t="shared" si="1"/>
        <v>5</v>
      </c>
      <c r="F32" s="22" t="s">
        <v>505</v>
      </c>
    </row>
    <row r="33" spans="2:9" x14ac:dyDescent="0.35">
      <c r="B33" s="164"/>
      <c r="C33" s="97"/>
      <c r="D33" s="230"/>
      <c r="E33" s="229">
        <f t="shared" si="1"/>
        <v>6</v>
      </c>
      <c r="F33" s="22" t="s">
        <v>506</v>
      </c>
    </row>
    <row r="34" spans="2:9" x14ac:dyDescent="0.35">
      <c r="B34" s="164"/>
      <c r="C34" s="97"/>
      <c r="D34" s="230"/>
      <c r="E34" s="229">
        <f t="shared" si="1"/>
        <v>7</v>
      </c>
      <c r="F34" s="22" t="s">
        <v>507</v>
      </c>
    </row>
    <row r="35" spans="2:9" x14ac:dyDescent="0.35">
      <c r="B35" s="164"/>
      <c r="C35" s="97"/>
      <c r="D35" s="230"/>
      <c r="E35" s="229">
        <f t="shared" si="1"/>
        <v>8</v>
      </c>
      <c r="F35" s="22" t="s">
        <v>508</v>
      </c>
    </row>
    <row r="36" spans="2:9" x14ac:dyDescent="0.35">
      <c r="B36" s="164"/>
      <c r="C36" s="97"/>
      <c r="D36" s="230"/>
      <c r="E36" s="229">
        <f t="shared" si="1"/>
        <v>9</v>
      </c>
      <c r="F36" s="22" t="s">
        <v>509</v>
      </c>
    </row>
    <row r="37" spans="2:9" x14ac:dyDescent="0.35">
      <c r="B37" s="164"/>
      <c r="C37" s="97"/>
      <c r="D37" s="230"/>
      <c r="E37" s="229">
        <f t="shared" si="1"/>
        <v>10</v>
      </c>
      <c r="F37" s="22" t="s">
        <v>510</v>
      </c>
    </row>
    <row r="38" spans="2:9" x14ac:dyDescent="0.35">
      <c r="B38" s="164"/>
      <c r="C38" s="97"/>
      <c r="D38" s="230"/>
      <c r="E38" s="229">
        <f t="shared" si="1"/>
        <v>11</v>
      </c>
      <c r="F38" s="22" t="s">
        <v>511</v>
      </c>
    </row>
    <row r="39" spans="2:9" x14ac:dyDescent="0.35">
      <c r="B39" s="164"/>
      <c r="C39" s="97"/>
      <c r="D39" s="230"/>
      <c r="E39" s="229">
        <f t="shared" si="1"/>
        <v>12</v>
      </c>
      <c r="F39" s="22" t="s">
        <v>512</v>
      </c>
    </row>
    <row r="40" spans="2:9" ht="26" x14ac:dyDescent="0.35">
      <c r="B40" s="164"/>
      <c r="C40" s="97"/>
      <c r="D40" s="230"/>
      <c r="E40" s="229">
        <f t="shared" si="1"/>
        <v>13</v>
      </c>
      <c r="F40" s="22" t="s">
        <v>513</v>
      </c>
    </row>
    <row r="41" spans="2:9" ht="12.75" customHeight="1" x14ac:dyDescent="0.35">
      <c r="B41" s="164"/>
      <c r="C41" s="97"/>
      <c r="D41" s="230"/>
      <c r="E41" s="229">
        <v>-66</v>
      </c>
      <c r="F41" s="22" t="s">
        <v>514</v>
      </c>
      <c r="I41" s="234"/>
    </row>
    <row r="42" spans="2:9" ht="12.75" customHeight="1" x14ac:dyDescent="0.35">
      <c r="B42" s="164"/>
      <c r="C42" s="97"/>
      <c r="D42" s="230"/>
      <c r="E42" s="229">
        <v>-88</v>
      </c>
      <c r="F42" s="22" t="s">
        <v>103</v>
      </c>
    </row>
    <row r="43" spans="2:9" x14ac:dyDescent="0.35">
      <c r="B43" s="164"/>
      <c r="C43" s="120"/>
      <c r="D43" s="227"/>
      <c r="E43" s="231">
        <v>-99</v>
      </c>
      <c r="F43" s="2" t="s">
        <v>104</v>
      </c>
      <c r="I43" s="234"/>
    </row>
    <row r="44" spans="2:9" ht="12.75" customHeight="1" x14ac:dyDescent="0.35">
      <c r="C44" s="234"/>
      <c r="E44" s="82"/>
      <c r="I44" s="234"/>
    </row>
  </sheetData>
  <mergeCells count="15">
    <mergeCell ref="E15:F15"/>
    <mergeCell ref="D24:D26"/>
    <mergeCell ref="D28:D29"/>
    <mergeCell ref="D12:D13"/>
    <mergeCell ref="D9:D10"/>
    <mergeCell ref="E11:F11"/>
    <mergeCell ref="D16:D17"/>
    <mergeCell ref="B4:C4"/>
    <mergeCell ref="E4:F4"/>
    <mergeCell ref="E14:F14"/>
    <mergeCell ref="G4:H4"/>
    <mergeCell ref="B2:H2"/>
    <mergeCell ref="B5:F5"/>
    <mergeCell ref="D6:D7"/>
    <mergeCell ref="E8:F8"/>
  </mergeCells>
  <pageMargins left="0.7" right="0.7" top="0.75" bottom="0.75" header="0.3" footer="0.3"/>
  <pageSetup orientation="portrait" r:id="rId1"/>
  <headerFooter>
    <oddHeader xml:space="preserve">&amp;CSavings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5"/>
  <sheetViews>
    <sheetView view="pageLayout" topLeftCell="B7" zoomScaleNormal="100" workbookViewId="0">
      <selection activeCell="D55" sqref="D55"/>
    </sheetView>
  </sheetViews>
  <sheetFormatPr defaultRowHeight="14.5" x14ac:dyDescent="0.35"/>
  <cols>
    <col min="1" max="1" width="0" style="351" hidden="1" customWidth="1"/>
    <col min="2" max="2" width="2.81640625" customWidth="1"/>
    <col min="3" max="3" width="3.81640625" customWidth="1"/>
    <col min="4" max="4" width="34.81640625" customWidth="1"/>
    <col min="8" max="8" width="9.1796875" customWidth="1"/>
  </cols>
  <sheetData>
    <row r="1" spans="1:9" ht="24.75" customHeight="1" x14ac:dyDescent="0.35">
      <c r="B1" s="697" t="s">
        <v>516</v>
      </c>
      <c r="C1" s="698"/>
      <c r="D1" s="698"/>
      <c r="E1" s="698"/>
      <c r="F1" s="698"/>
      <c r="G1" s="698"/>
      <c r="H1" s="698"/>
      <c r="I1" s="699"/>
    </row>
    <row r="2" spans="1:9" ht="15" customHeight="1" x14ac:dyDescent="0.35">
      <c r="B2" s="666" t="s">
        <v>0</v>
      </c>
      <c r="C2" s="667"/>
      <c r="D2" s="236" t="s">
        <v>1</v>
      </c>
      <c r="E2" s="666" t="s">
        <v>2</v>
      </c>
      <c r="F2" s="680"/>
      <c r="G2" s="680"/>
      <c r="H2" s="667"/>
      <c r="I2" s="232" t="s">
        <v>257</v>
      </c>
    </row>
    <row r="3" spans="1:9" ht="43.5" customHeight="1" x14ac:dyDescent="0.35">
      <c r="A3" s="351" t="s">
        <v>839</v>
      </c>
      <c r="B3" s="694" t="s">
        <v>517</v>
      </c>
      <c r="C3" s="692"/>
      <c r="D3" s="692"/>
      <c r="E3" s="692"/>
      <c r="F3" s="693"/>
      <c r="G3" s="695" t="s">
        <v>518</v>
      </c>
      <c r="H3" s="696"/>
    </row>
    <row r="4" spans="1:9" x14ac:dyDescent="0.35">
      <c r="A4" s="421" t="s">
        <v>882</v>
      </c>
      <c r="B4" s="262" t="s">
        <v>441</v>
      </c>
      <c r="C4" s="31">
        <v>1</v>
      </c>
      <c r="D4" s="688" t="s">
        <v>519</v>
      </c>
      <c r="E4" s="7">
        <v>1</v>
      </c>
      <c r="F4" s="20" t="s">
        <v>29</v>
      </c>
      <c r="G4" s="540" t="s">
        <v>520</v>
      </c>
      <c r="H4" s="541"/>
    </row>
    <row r="5" spans="1:9" ht="22" x14ac:dyDescent="0.35">
      <c r="A5" s="422" t="s">
        <v>883</v>
      </c>
      <c r="B5" s="239"/>
      <c r="C5" s="22"/>
      <c r="D5" s="689"/>
      <c r="E5" s="21">
        <v>2</v>
      </c>
      <c r="F5" s="22" t="s">
        <v>26</v>
      </c>
      <c r="G5" s="542"/>
      <c r="H5" s="543"/>
    </row>
    <row r="6" spans="1:9" x14ac:dyDescent="0.35">
      <c r="A6" s="423"/>
      <c r="B6" s="239"/>
      <c r="C6" s="22"/>
      <c r="D6" s="689"/>
      <c r="E6" s="21">
        <v>-88</v>
      </c>
      <c r="F6" s="22" t="s">
        <v>103</v>
      </c>
      <c r="G6" s="542"/>
      <c r="H6" s="543"/>
    </row>
    <row r="7" spans="1:9" ht="26" x14ac:dyDescent="0.35">
      <c r="A7" s="423"/>
      <c r="B7" s="239"/>
      <c r="C7" s="22"/>
      <c r="D7" s="690"/>
      <c r="E7" s="10">
        <v>-99</v>
      </c>
      <c r="F7" s="2" t="s">
        <v>104</v>
      </c>
      <c r="G7" s="542"/>
      <c r="H7" s="543"/>
    </row>
    <row r="8" spans="1:9" x14ac:dyDescent="0.35">
      <c r="A8" s="422" t="s">
        <v>884</v>
      </c>
      <c r="B8" s="262" t="s">
        <v>521</v>
      </c>
      <c r="C8" s="31">
        <f>C4+1</f>
        <v>2</v>
      </c>
      <c r="D8" s="688" t="s">
        <v>522</v>
      </c>
      <c r="E8" s="7">
        <v>1</v>
      </c>
      <c r="F8" s="20" t="s">
        <v>29</v>
      </c>
      <c r="G8" s="540" t="s">
        <v>520</v>
      </c>
      <c r="H8" s="541"/>
    </row>
    <row r="9" spans="1:9" ht="22" x14ac:dyDescent="0.35">
      <c r="A9" s="422" t="s">
        <v>885</v>
      </c>
      <c r="B9" s="239"/>
      <c r="C9" s="22"/>
      <c r="D9" s="689"/>
      <c r="E9" s="21">
        <v>2</v>
      </c>
      <c r="F9" s="22" t="s">
        <v>26</v>
      </c>
      <c r="G9" s="542"/>
      <c r="H9" s="543"/>
    </row>
    <row r="10" spans="1:9" x14ac:dyDescent="0.35">
      <c r="A10" s="423"/>
      <c r="B10" s="239"/>
      <c r="C10" s="22"/>
      <c r="D10" s="689"/>
      <c r="E10" s="21">
        <v>-88</v>
      </c>
      <c r="F10" s="22" t="s">
        <v>103</v>
      </c>
      <c r="G10" s="542"/>
      <c r="H10" s="543"/>
    </row>
    <row r="11" spans="1:9" ht="26" x14ac:dyDescent="0.35">
      <c r="A11" s="423"/>
      <c r="B11" s="239"/>
      <c r="C11" s="22"/>
      <c r="D11" s="690"/>
      <c r="E11" s="10">
        <v>-99</v>
      </c>
      <c r="F11" s="2" t="s">
        <v>104</v>
      </c>
      <c r="G11" s="542"/>
      <c r="H11" s="543"/>
    </row>
    <row r="12" spans="1:9" x14ac:dyDescent="0.35">
      <c r="A12" s="422" t="s">
        <v>886</v>
      </c>
      <c r="B12" s="262" t="s">
        <v>521</v>
      </c>
      <c r="C12" s="31">
        <f>C8+1</f>
        <v>3</v>
      </c>
      <c r="D12" s="688" t="s">
        <v>523</v>
      </c>
      <c r="E12" s="7">
        <v>1</v>
      </c>
      <c r="F12" s="20" t="s">
        <v>29</v>
      </c>
      <c r="G12" s="540" t="s">
        <v>520</v>
      </c>
      <c r="H12" s="541"/>
    </row>
    <row r="13" spans="1:9" ht="22" x14ac:dyDescent="0.35">
      <c r="A13" s="422" t="s">
        <v>887</v>
      </c>
      <c r="B13" s="239"/>
      <c r="C13" s="22"/>
      <c r="D13" s="689"/>
      <c r="E13" s="21">
        <v>2</v>
      </c>
      <c r="F13" s="22" t="s">
        <v>26</v>
      </c>
      <c r="G13" s="542"/>
      <c r="H13" s="543"/>
    </row>
    <row r="14" spans="1:9" x14ac:dyDescent="0.35">
      <c r="A14" s="423"/>
      <c r="B14" s="239"/>
      <c r="C14" s="22"/>
      <c r="D14" s="689"/>
      <c r="E14" s="21">
        <v>-88</v>
      </c>
      <c r="F14" s="22" t="s">
        <v>103</v>
      </c>
      <c r="G14" s="542"/>
      <c r="H14" s="543"/>
    </row>
    <row r="15" spans="1:9" ht="26" x14ac:dyDescent="0.35">
      <c r="A15" s="423"/>
      <c r="B15" s="239"/>
      <c r="C15" s="22"/>
      <c r="D15" s="690"/>
      <c r="E15" s="10">
        <v>-99</v>
      </c>
      <c r="F15" s="2" t="s">
        <v>104</v>
      </c>
      <c r="G15" s="542"/>
      <c r="H15" s="543"/>
    </row>
    <row r="16" spans="1:9" x14ac:dyDescent="0.35">
      <c r="A16" s="422" t="s">
        <v>888</v>
      </c>
      <c r="B16" s="262" t="s">
        <v>521</v>
      </c>
      <c r="C16" s="31">
        <f>C12+1</f>
        <v>4</v>
      </c>
      <c r="D16" s="688" t="s">
        <v>524</v>
      </c>
      <c r="E16" s="7">
        <v>1</v>
      </c>
      <c r="F16" s="20" t="s">
        <v>29</v>
      </c>
      <c r="G16" s="540" t="s">
        <v>520</v>
      </c>
      <c r="H16" s="541"/>
    </row>
    <row r="17" spans="1:8" ht="22" x14ac:dyDescent="0.35">
      <c r="A17" s="422" t="s">
        <v>889</v>
      </c>
      <c r="B17" s="239"/>
      <c r="C17" s="22"/>
      <c r="D17" s="689"/>
      <c r="E17" s="21">
        <v>2</v>
      </c>
      <c r="F17" s="22" t="s">
        <v>26</v>
      </c>
      <c r="G17" s="542"/>
      <c r="H17" s="543"/>
    </row>
    <row r="18" spans="1:8" x14ac:dyDescent="0.35">
      <c r="A18" s="423"/>
      <c r="B18" s="239"/>
      <c r="C18" s="22"/>
      <c r="D18" s="689"/>
      <c r="E18" s="21">
        <v>-88</v>
      </c>
      <c r="F18" s="22" t="s">
        <v>103</v>
      </c>
      <c r="G18" s="542"/>
      <c r="H18" s="543"/>
    </row>
    <row r="19" spans="1:8" ht="26" x14ac:dyDescent="0.35">
      <c r="A19" s="423"/>
      <c r="B19" s="239"/>
      <c r="C19" s="22"/>
      <c r="D19" s="690"/>
      <c r="E19" s="21">
        <v>-99</v>
      </c>
      <c r="F19" s="22" t="s">
        <v>104</v>
      </c>
      <c r="G19" s="542"/>
      <c r="H19" s="543"/>
    </row>
    <row r="20" spans="1:8" x14ac:dyDescent="0.35">
      <c r="A20" s="422" t="s">
        <v>890</v>
      </c>
      <c r="B20" s="262" t="s">
        <v>521</v>
      </c>
      <c r="C20" s="31">
        <f>C16+1</f>
        <v>5</v>
      </c>
      <c r="D20" s="688" t="s">
        <v>525</v>
      </c>
      <c r="E20" s="7">
        <v>1</v>
      </c>
      <c r="F20" s="20" t="s">
        <v>29</v>
      </c>
      <c r="G20" s="540" t="s">
        <v>520</v>
      </c>
      <c r="H20" s="541"/>
    </row>
    <row r="21" spans="1:8" ht="22" x14ac:dyDescent="0.35">
      <c r="A21" s="422" t="s">
        <v>891</v>
      </c>
      <c r="B21" s="239"/>
      <c r="C21" s="22"/>
      <c r="D21" s="689"/>
      <c r="E21" s="21">
        <v>2</v>
      </c>
      <c r="F21" s="22" t="s">
        <v>26</v>
      </c>
      <c r="G21" s="542"/>
      <c r="H21" s="543"/>
    </row>
    <row r="22" spans="1:8" x14ac:dyDescent="0.35">
      <c r="A22" s="423"/>
      <c r="B22" s="239"/>
      <c r="C22" s="22"/>
      <c r="D22" s="689"/>
      <c r="E22" s="21">
        <v>-88</v>
      </c>
      <c r="F22" s="22" t="s">
        <v>103</v>
      </c>
      <c r="G22" s="542"/>
      <c r="H22" s="543"/>
    </row>
    <row r="23" spans="1:8" ht="26" x14ac:dyDescent="0.35">
      <c r="A23" s="424"/>
      <c r="B23" s="104"/>
      <c r="C23" s="2"/>
      <c r="D23" s="690"/>
      <c r="E23" s="10">
        <v>-99</v>
      </c>
      <c r="F23" s="2" t="s">
        <v>104</v>
      </c>
      <c r="G23" s="544"/>
      <c r="H23" s="545"/>
    </row>
    <row r="24" spans="1:8" x14ac:dyDescent="0.35">
      <c r="B24" s="235"/>
      <c r="C24" s="82"/>
      <c r="D24" s="82"/>
      <c r="E24" s="234"/>
      <c r="F24" s="82"/>
      <c r="G24" s="82"/>
      <c r="H24" s="82"/>
    </row>
    <row r="25" spans="1:8" ht="53.25" customHeight="1" x14ac:dyDescent="0.35">
      <c r="B25" s="691" t="s">
        <v>526</v>
      </c>
      <c r="C25" s="692"/>
      <c r="D25" s="692"/>
      <c r="E25" s="692"/>
      <c r="F25" s="693"/>
      <c r="G25" s="695" t="s">
        <v>518</v>
      </c>
      <c r="H25" s="696"/>
    </row>
    <row r="26" spans="1:8" x14ac:dyDescent="0.35">
      <c r="A26" s="352" t="s">
        <v>892</v>
      </c>
      <c r="B26" s="262" t="s">
        <v>521</v>
      </c>
      <c r="C26" s="31">
        <f>C20+1</f>
        <v>6</v>
      </c>
      <c r="D26" s="688" t="s">
        <v>519</v>
      </c>
      <c r="E26" s="7">
        <v>1</v>
      </c>
      <c r="F26" s="20" t="s">
        <v>29</v>
      </c>
      <c r="G26" s="540" t="s">
        <v>520</v>
      </c>
      <c r="H26" s="541"/>
    </row>
    <row r="27" spans="1:8" ht="22" x14ac:dyDescent="0.35">
      <c r="A27" s="352" t="s">
        <v>893</v>
      </c>
      <c r="B27" s="239"/>
      <c r="C27" s="22"/>
      <c r="D27" s="689"/>
      <c r="E27" s="21">
        <v>2</v>
      </c>
      <c r="F27" s="22" t="s">
        <v>26</v>
      </c>
      <c r="G27" s="542"/>
      <c r="H27" s="543"/>
    </row>
    <row r="28" spans="1:8" x14ac:dyDescent="0.35">
      <c r="B28" s="239"/>
      <c r="C28" s="22"/>
      <c r="D28" s="689"/>
      <c r="E28" s="21">
        <v>-88</v>
      </c>
      <c r="F28" s="22" t="s">
        <v>103</v>
      </c>
      <c r="G28" s="542"/>
      <c r="H28" s="543"/>
    </row>
    <row r="29" spans="1:8" ht="26" x14ac:dyDescent="0.35">
      <c r="B29" s="239"/>
      <c r="C29" s="22"/>
      <c r="D29" s="690"/>
      <c r="E29" s="10">
        <v>-99</v>
      </c>
      <c r="F29" s="2" t="s">
        <v>104</v>
      </c>
      <c r="G29" s="542"/>
      <c r="H29" s="543"/>
    </row>
    <row r="30" spans="1:8" x14ac:dyDescent="0.35">
      <c r="A30" s="352" t="s">
        <v>894</v>
      </c>
      <c r="B30" s="262" t="s">
        <v>521</v>
      </c>
      <c r="C30" s="31">
        <f>C26+1</f>
        <v>7</v>
      </c>
      <c r="D30" s="688" t="s">
        <v>522</v>
      </c>
      <c r="E30" s="7">
        <v>1</v>
      </c>
      <c r="F30" s="20" t="s">
        <v>29</v>
      </c>
      <c r="G30" s="540" t="s">
        <v>520</v>
      </c>
      <c r="H30" s="541"/>
    </row>
    <row r="31" spans="1:8" ht="22" x14ac:dyDescent="0.35">
      <c r="A31" s="352" t="s">
        <v>895</v>
      </c>
      <c r="B31" s="239"/>
      <c r="C31" s="22"/>
      <c r="D31" s="689"/>
      <c r="E31" s="21">
        <v>2</v>
      </c>
      <c r="F31" s="22" t="s">
        <v>26</v>
      </c>
      <c r="G31" s="542"/>
      <c r="H31" s="543"/>
    </row>
    <row r="32" spans="1:8" x14ac:dyDescent="0.35">
      <c r="B32" s="239"/>
      <c r="C32" s="22"/>
      <c r="D32" s="689"/>
      <c r="E32" s="21">
        <v>-88</v>
      </c>
      <c r="F32" s="22" t="s">
        <v>103</v>
      </c>
      <c r="G32" s="542"/>
      <c r="H32" s="543"/>
    </row>
    <row r="33" spans="1:8" ht="26" x14ac:dyDescent="0.35">
      <c r="B33" s="104"/>
      <c r="C33" s="2"/>
      <c r="D33" s="690"/>
      <c r="E33" s="10">
        <v>-99</v>
      </c>
      <c r="F33" s="2" t="s">
        <v>104</v>
      </c>
      <c r="G33" s="544"/>
      <c r="H33" s="545"/>
    </row>
    <row r="34" spans="1:8" x14ac:dyDescent="0.35">
      <c r="A34" s="352" t="s">
        <v>896</v>
      </c>
      <c r="B34" s="262" t="s">
        <v>521</v>
      </c>
      <c r="C34" s="31">
        <f>C30+1</f>
        <v>8</v>
      </c>
      <c r="D34" s="688" t="s">
        <v>523</v>
      </c>
      <c r="E34" s="7">
        <v>1</v>
      </c>
      <c r="F34" s="20" t="s">
        <v>29</v>
      </c>
      <c r="G34" s="540" t="s">
        <v>520</v>
      </c>
      <c r="H34" s="541"/>
    </row>
    <row r="35" spans="1:8" ht="22" x14ac:dyDescent="0.35">
      <c r="A35" s="352" t="s">
        <v>897</v>
      </c>
      <c r="B35" s="239"/>
      <c r="C35" s="22"/>
      <c r="D35" s="689"/>
      <c r="E35" s="21">
        <v>2</v>
      </c>
      <c r="F35" s="22" t="s">
        <v>26</v>
      </c>
      <c r="G35" s="542"/>
      <c r="H35" s="543"/>
    </row>
    <row r="36" spans="1:8" x14ac:dyDescent="0.35">
      <c r="B36" s="239"/>
      <c r="C36" s="22"/>
      <c r="D36" s="689"/>
      <c r="E36" s="21">
        <v>-88</v>
      </c>
      <c r="F36" s="22" t="s">
        <v>103</v>
      </c>
      <c r="G36" s="542"/>
      <c r="H36" s="543"/>
    </row>
    <row r="37" spans="1:8" ht="26" x14ac:dyDescent="0.35">
      <c r="B37" s="239"/>
      <c r="C37" s="22"/>
      <c r="D37" s="690"/>
      <c r="E37" s="10">
        <v>-99</v>
      </c>
      <c r="F37" s="2" t="s">
        <v>104</v>
      </c>
      <c r="G37" s="542"/>
      <c r="H37" s="543"/>
    </row>
    <row r="38" spans="1:8" x14ac:dyDescent="0.35">
      <c r="A38" s="352" t="s">
        <v>898</v>
      </c>
      <c r="B38" s="262" t="s">
        <v>521</v>
      </c>
      <c r="C38" s="31">
        <f>C34+1</f>
        <v>9</v>
      </c>
      <c r="D38" s="688" t="s">
        <v>524</v>
      </c>
      <c r="E38" s="7">
        <v>1</v>
      </c>
      <c r="F38" s="20" t="s">
        <v>29</v>
      </c>
      <c r="G38" s="540" t="s">
        <v>520</v>
      </c>
      <c r="H38" s="541"/>
    </row>
    <row r="39" spans="1:8" ht="22" x14ac:dyDescent="0.35">
      <c r="A39" s="352" t="s">
        <v>899</v>
      </c>
      <c r="B39" s="239"/>
      <c r="C39" s="22"/>
      <c r="D39" s="689"/>
      <c r="E39" s="21">
        <v>2</v>
      </c>
      <c r="F39" s="22" t="s">
        <v>26</v>
      </c>
      <c r="G39" s="542"/>
      <c r="H39" s="543"/>
    </row>
    <row r="40" spans="1:8" x14ac:dyDescent="0.35">
      <c r="B40" s="239"/>
      <c r="C40" s="22"/>
      <c r="D40" s="689"/>
      <c r="E40" s="21">
        <v>-88</v>
      </c>
      <c r="F40" s="22" t="s">
        <v>103</v>
      </c>
      <c r="G40" s="542"/>
      <c r="H40" s="543"/>
    </row>
    <row r="41" spans="1:8" ht="26" x14ac:dyDescent="0.35">
      <c r="B41" s="239"/>
      <c r="C41" s="22"/>
      <c r="D41" s="690"/>
      <c r="E41" s="21">
        <v>-99</v>
      </c>
      <c r="F41" s="22" t="s">
        <v>104</v>
      </c>
      <c r="G41" s="542"/>
      <c r="H41" s="543"/>
    </row>
    <row r="42" spans="1:8" x14ac:dyDescent="0.35">
      <c r="A42" s="352" t="s">
        <v>900</v>
      </c>
      <c r="B42" s="262" t="s">
        <v>521</v>
      </c>
      <c r="C42" s="31">
        <f>C38+1</f>
        <v>10</v>
      </c>
      <c r="D42" s="688" t="s">
        <v>525</v>
      </c>
      <c r="E42" s="7">
        <v>1</v>
      </c>
      <c r="F42" s="20" t="s">
        <v>29</v>
      </c>
      <c r="G42" s="540" t="s">
        <v>520</v>
      </c>
      <c r="H42" s="541"/>
    </row>
    <row r="43" spans="1:8" ht="22" x14ac:dyDescent="0.35">
      <c r="A43" s="352" t="s">
        <v>901</v>
      </c>
      <c r="B43" s="239"/>
      <c r="C43" s="22"/>
      <c r="D43" s="689"/>
      <c r="E43" s="21">
        <v>2</v>
      </c>
      <c r="F43" s="22" t="s">
        <v>26</v>
      </c>
      <c r="G43" s="542"/>
      <c r="H43" s="543"/>
    </row>
    <row r="44" spans="1:8" x14ac:dyDescent="0.35">
      <c r="B44" s="239"/>
      <c r="C44" s="22"/>
      <c r="D44" s="689"/>
      <c r="E44" s="21">
        <v>-88</v>
      </c>
      <c r="F44" s="22" t="s">
        <v>103</v>
      </c>
      <c r="G44" s="542"/>
      <c r="H44" s="543"/>
    </row>
    <row r="45" spans="1:8" ht="26" x14ac:dyDescent="0.35">
      <c r="B45" s="104"/>
      <c r="C45" s="2"/>
      <c r="D45" s="690"/>
      <c r="E45" s="10">
        <v>-99</v>
      </c>
      <c r="F45" s="2" t="s">
        <v>104</v>
      </c>
      <c r="G45" s="544"/>
      <c r="H45" s="545"/>
    </row>
  </sheetData>
  <mergeCells count="27">
    <mergeCell ref="B1:I1"/>
    <mergeCell ref="B2:C2"/>
    <mergeCell ref="E2:H2"/>
    <mergeCell ref="G3:H3"/>
    <mergeCell ref="D4:D7"/>
    <mergeCell ref="G4:H7"/>
    <mergeCell ref="G8:H11"/>
    <mergeCell ref="D12:D15"/>
    <mergeCell ref="G12:H15"/>
    <mergeCell ref="D16:D19"/>
    <mergeCell ref="G16:H19"/>
    <mergeCell ref="D42:D45"/>
    <mergeCell ref="G42:H45"/>
    <mergeCell ref="B25:F25"/>
    <mergeCell ref="B3:F3"/>
    <mergeCell ref="D30:D33"/>
    <mergeCell ref="G30:H33"/>
    <mergeCell ref="D34:D37"/>
    <mergeCell ref="G34:H37"/>
    <mergeCell ref="D38:D41"/>
    <mergeCell ref="G38:H41"/>
    <mergeCell ref="D20:D23"/>
    <mergeCell ref="G20:H23"/>
    <mergeCell ref="G25:H25"/>
    <mergeCell ref="D26:D29"/>
    <mergeCell ref="G26:H29"/>
    <mergeCell ref="D8:D11"/>
  </mergeCells>
  <pageMargins left="0.7" right="0.7" top="0.75" bottom="0.75" header="0.3" footer="0.3"/>
  <pageSetup orientation="portrait" r:id="rId1"/>
  <headerFooter>
    <oddHeader xml:space="preserve">&amp;C&amp;"-,Bold"Transfers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0"/>
  <sheetViews>
    <sheetView view="pageLayout" topLeftCell="B2" zoomScaleNormal="100" workbookViewId="0">
      <selection activeCell="G16" sqref="G16"/>
    </sheetView>
  </sheetViews>
  <sheetFormatPr defaultColWidth="9.1796875" defaultRowHeight="13" x14ac:dyDescent="0.35"/>
  <cols>
    <col min="1" max="1" width="11" style="362" hidden="1" customWidth="1"/>
    <col min="2" max="2" width="4" style="82" customWidth="1"/>
    <col min="3" max="3" width="3.453125" style="82" customWidth="1"/>
    <col min="4" max="4" width="31.1796875" style="82" customWidth="1"/>
    <col min="5" max="5" width="9.1796875" style="234"/>
    <col min="6" max="6" width="27" style="82" customWidth="1"/>
    <col min="7" max="7" width="4.54296875" style="82" customWidth="1"/>
    <col min="8" max="8" width="8.1796875" style="82" customWidth="1"/>
    <col min="9" max="16384" width="9.1796875" style="82"/>
  </cols>
  <sheetData>
    <row r="1" spans="1:8" ht="70.5" customHeight="1" x14ac:dyDescent="0.35">
      <c r="B1" s="701" t="s">
        <v>529</v>
      </c>
      <c r="C1" s="702"/>
      <c r="D1" s="702"/>
      <c r="E1" s="702"/>
      <c r="F1" s="702"/>
      <c r="G1" s="702"/>
      <c r="H1" s="703"/>
    </row>
    <row r="2" spans="1:8" ht="14.25" customHeight="1" x14ac:dyDescent="0.35">
      <c r="A2" s="362" t="s">
        <v>839</v>
      </c>
      <c r="B2" s="713" t="s">
        <v>0</v>
      </c>
      <c r="C2" s="714"/>
      <c r="D2" s="299" t="s">
        <v>1</v>
      </c>
      <c r="E2" s="715" t="s">
        <v>2</v>
      </c>
      <c r="F2" s="716"/>
      <c r="G2" s="715" t="s">
        <v>395</v>
      </c>
      <c r="H2" s="716"/>
    </row>
    <row r="3" spans="1:8" ht="14.25" customHeight="1" x14ac:dyDescent="0.35">
      <c r="B3" s="717" t="s">
        <v>530</v>
      </c>
      <c r="C3" s="718"/>
      <c r="D3" s="719"/>
      <c r="E3" s="242"/>
      <c r="F3" s="198"/>
      <c r="G3" s="135"/>
      <c r="H3" s="243"/>
    </row>
    <row r="4" spans="1:8" ht="15.75" customHeight="1" x14ac:dyDescent="0.35">
      <c r="A4" s="372" t="s">
        <v>902</v>
      </c>
      <c r="B4" s="21" t="s">
        <v>498</v>
      </c>
      <c r="C4" s="32">
        <v>1</v>
      </c>
      <c r="D4" s="244" t="s">
        <v>531</v>
      </c>
      <c r="E4" s="720" t="s">
        <v>263</v>
      </c>
      <c r="F4" s="721"/>
      <c r="G4" s="722" t="s">
        <v>532</v>
      </c>
      <c r="H4" s="723"/>
    </row>
    <row r="5" spans="1:8" ht="17.25" customHeight="1" x14ac:dyDescent="0.35">
      <c r="A5" s="372" t="s">
        <v>903</v>
      </c>
      <c r="B5" s="21" t="s">
        <v>498</v>
      </c>
      <c r="C5" s="32">
        <f>C4+1</f>
        <v>2</v>
      </c>
      <c r="D5" s="245" t="s">
        <v>533</v>
      </c>
      <c r="E5" s="708" t="s">
        <v>263</v>
      </c>
      <c r="F5" s="709"/>
      <c r="G5" s="722"/>
      <c r="H5" s="723"/>
    </row>
    <row r="6" spans="1:8" ht="17.25" customHeight="1" x14ac:dyDescent="0.35">
      <c r="A6" s="372" t="s">
        <v>904</v>
      </c>
      <c r="B6" s="21" t="s">
        <v>498</v>
      </c>
      <c r="C6" s="32">
        <f t="shared" ref="C6:C11" si="0">C5+1</f>
        <v>3</v>
      </c>
      <c r="D6" s="245" t="s">
        <v>534</v>
      </c>
      <c r="E6" s="708" t="s">
        <v>263</v>
      </c>
      <c r="F6" s="709"/>
      <c r="G6" s="135"/>
      <c r="H6" s="243"/>
    </row>
    <row r="7" spans="1:8" ht="18" customHeight="1" x14ac:dyDescent="0.35">
      <c r="A7" s="372" t="s">
        <v>905</v>
      </c>
      <c r="B7" s="21" t="s">
        <v>498</v>
      </c>
      <c r="C7" s="32">
        <f t="shared" si="0"/>
        <v>4</v>
      </c>
      <c r="D7" s="245" t="s">
        <v>535</v>
      </c>
      <c r="E7" s="708" t="s">
        <v>263</v>
      </c>
      <c r="F7" s="709"/>
      <c r="G7" s="135"/>
      <c r="H7" s="243"/>
    </row>
    <row r="8" spans="1:8" ht="18" customHeight="1" x14ac:dyDescent="0.35">
      <c r="A8" s="372" t="s">
        <v>906</v>
      </c>
      <c r="B8" s="21" t="s">
        <v>498</v>
      </c>
      <c r="C8" s="32">
        <f t="shared" si="0"/>
        <v>5</v>
      </c>
      <c r="D8" s="245" t="s">
        <v>536</v>
      </c>
      <c r="E8" s="708" t="s">
        <v>263</v>
      </c>
      <c r="F8" s="709"/>
      <c r="G8" s="135"/>
      <c r="H8" s="243"/>
    </row>
    <row r="9" spans="1:8" ht="20.25" customHeight="1" x14ac:dyDescent="0.35">
      <c r="A9" s="372" t="s">
        <v>907</v>
      </c>
      <c r="B9" s="21" t="s">
        <v>498</v>
      </c>
      <c r="C9" s="32">
        <f t="shared" si="0"/>
        <v>6</v>
      </c>
      <c r="D9" s="245" t="s">
        <v>537</v>
      </c>
      <c r="E9" s="708" t="s">
        <v>263</v>
      </c>
      <c r="F9" s="709"/>
      <c r="G9" s="135"/>
      <c r="H9" s="243"/>
    </row>
    <row r="10" spans="1:8" ht="25.5" customHeight="1" x14ac:dyDescent="0.35">
      <c r="A10" s="372" t="s">
        <v>908</v>
      </c>
      <c r="B10" s="21" t="s">
        <v>498</v>
      </c>
      <c r="C10" s="32">
        <f t="shared" si="0"/>
        <v>7</v>
      </c>
      <c r="D10" s="245" t="s">
        <v>538</v>
      </c>
      <c r="E10" s="708" t="s">
        <v>263</v>
      </c>
      <c r="F10" s="709"/>
      <c r="G10" s="135"/>
      <c r="H10" s="243"/>
    </row>
    <row r="11" spans="1:8" ht="18.75" customHeight="1" x14ac:dyDescent="0.35">
      <c r="A11" s="372" t="s">
        <v>909</v>
      </c>
      <c r="B11" s="21" t="s">
        <v>498</v>
      </c>
      <c r="C11" s="32">
        <f t="shared" si="0"/>
        <v>8</v>
      </c>
      <c r="D11" s="245" t="s">
        <v>539</v>
      </c>
      <c r="E11" s="708" t="s">
        <v>263</v>
      </c>
      <c r="F11" s="709"/>
      <c r="G11" s="135"/>
      <c r="H11" s="243"/>
    </row>
    <row r="12" spans="1:8" ht="18.75" customHeight="1" x14ac:dyDescent="0.35">
      <c r="A12" s="353" t="s">
        <v>910</v>
      </c>
      <c r="B12" s="21" t="s">
        <v>498</v>
      </c>
      <c r="C12" s="32">
        <v>12</v>
      </c>
      <c r="D12" s="246" t="s">
        <v>540</v>
      </c>
      <c r="E12" s="708" t="s">
        <v>263</v>
      </c>
      <c r="F12" s="709"/>
      <c r="G12" s="135"/>
      <c r="H12" s="243"/>
    </row>
    <row r="13" spans="1:8" ht="24" customHeight="1" x14ac:dyDescent="0.35">
      <c r="A13" s="353" t="s">
        <v>911</v>
      </c>
      <c r="B13" s="21" t="s">
        <v>498</v>
      </c>
      <c r="C13" s="32">
        <v>13</v>
      </c>
      <c r="D13" s="246" t="s">
        <v>541</v>
      </c>
      <c r="E13" s="708" t="s">
        <v>263</v>
      </c>
      <c r="F13" s="709"/>
      <c r="G13" s="135"/>
      <c r="H13" s="243"/>
    </row>
    <row r="14" spans="1:8" ht="24" customHeight="1" x14ac:dyDescent="0.35">
      <c r="A14" s="353"/>
      <c r="B14" s="21" t="s">
        <v>498</v>
      </c>
      <c r="C14" s="32">
        <v>30</v>
      </c>
      <c r="D14" s="246" t="s">
        <v>1120</v>
      </c>
      <c r="E14" s="708" t="s">
        <v>263</v>
      </c>
      <c r="F14" s="709"/>
      <c r="G14" s="135"/>
      <c r="H14" s="243"/>
    </row>
    <row r="15" spans="1:8" s="451" customFormat="1" ht="24" customHeight="1" x14ac:dyDescent="0.35">
      <c r="A15" s="448"/>
      <c r="B15" s="21" t="s">
        <v>498</v>
      </c>
      <c r="C15" s="32">
        <v>31</v>
      </c>
      <c r="D15" s="246" t="s">
        <v>1121</v>
      </c>
      <c r="E15" s="708" t="s">
        <v>263</v>
      </c>
      <c r="F15" s="709"/>
      <c r="G15" s="449"/>
      <c r="H15" s="450"/>
    </row>
    <row r="16" spans="1:8" ht="21.75" customHeight="1" x14ac:dyDescent="0.35">
      <c r="A16" s="352" t="s">
        <v>912</v>
      </c>
      <c r="B16" s="21" t="s">
        <v>498</v>
      </c>
      <c r="C16" s="32">
        <f>C11+1</f>
        <v>9</v>
      </c>
      <c r="D16" s="710" t="s">
        <v>542</v>
      </c>
      <c r="E16" s="711" t="s">
        <v>263</v>
      </c>
      <c r="F16" s="712"/>
      <c r="G16" s="135"/>
      <c r="H16" s="243"/>
    </row>
    <row r="17" spans="1:8" ht="16.5" customHeight="1" x14ac:dyDescent="0.35">
      <c r="A17" s="361" t="s">
        <v>913</v>
      </c>
      <c r="B17" s="21"/>
      <c r="C17" s="32"/>
      <c r="D17" s="454"/>
      <c r="E17" s="542"/>
      <c r="F17" s="543"/>
      <c r="G17" s="135"/>
      <c r="H17" s="243"/>
    </row>
    <row r="18" spans="1:8" ht="16.5" customHeight="1" x14ac:dyDescent="0.35">
      <c r="A18" s="361" t="s">
        <v>914</v>
      </c>
      <c r="B18" s="21"/>
      <c r="C18" s="32"/>
      <c r="D18" s="461"/>
      <c r="E18" s="544"/>
      <c r="F18" s="545"/>
      <c r="G18" s="135"/>
      <c r="H18" s="243"/>
    </row>
    <row r="19" spans="1:8" ht="23.25" customHeight="1" x14ac:dyDescent="0.35">
      <c r="A19" s="352" t="s">
        <v>915</v>
      </c>
      <c r="B19" s="7" t="s">
        <v>498</v>
      </c>
      <c r="C19" s="31">
        <f>C16+1</f>
        <v>10</v>
      </c>
      <c r="D19" s="466" t="s">
        <v>543</v>
      </c>
      <c r="E19" s="7">
        <v>1</v>
      </c>
      <c r="F19" s="20" t="s">
        <v>29</v>
      </c>
      <c r="G19" s="188"/>
      <c r="H19" s="247"/>
    </row>
    <row r="20" spans="1:8" ht="19.5" customHeight="1" x14ac:dyDescent="0.35">
      <c r="B20" s="248"/>
      <c r="C20" s="249"/>
      <c r="D20" s="466"/>
      <c r="E20" s="10">
        <v>2</v>
      </c>
      <c r="F20" s="2" t="s">
        <v>26</v>
      </c>
      <c r="G20" s="237" t="s">
        <v>315</v>
      </c>
      <c r="H20" s="19" t="s">
        <v>721</v>
      </c>
    </row>
    <row r="21" spans="1:8" s="135" customFormat="1" ht="49.5" customHeight="1" x14ac:dyDescent="0.35">
      <c r="A21" s="352" t="s">
        <v>916</v>
      </c>
      <c r="B21" s="250" t="s">
        <v>498</v>
      </c>
      <c r="C21" s="86">
        <f>C19+1</f>
        <v>11</v>
      </c>
      <c r="D21" s="251" t="s">
        <v>544</v>
      </c>
      <c r="E21" s="490" t="s">
        <v>263</v>
      </c>
      <c r="F21" s="491"/>
      <c r="G21" s="252"/>
      <c r="H21" s="253"/>
    </row>
    <row r="22" spans="1:8" ht="22.5" customHeight="1" x14ac:dyDescent="0.35">
      <c r="D22" s="81"/>
      <c r="E22" s="165"/>
      <c r="F22" s="81"/>
    </row>
    <row r="23" spans="1:8" ht="60" customHeight="1" x14ac:dyDescent="0.35">
      <c r="B23" s="701" t="s">
        <v>545</v>
      </c>
      <c r="C23" s="702"/>
      <c r="D23" s="702"/>
      <c r="E23" s="702"/>
      <c r="F23" s="702"/>
      <c r="G23" s="702"/>
      <c r="H23" s="703"/>
    </row>
    <row r="24" spans="1:8" ht="29.25" customHeight="1" x14ac:dyDescent="0.35">
      <c r="B24" s="373" t="s">
        <v>0</v>
      </c>
      <c r="C24" s="374"/>
      <c r="D24" s="375" t="s">
        <v>255</v>
      </c>
      <c r="E24" s="704" t="s">
        <v>256</v>
      </c>
      <c r="F24" s="705"/>
      <c r="G24" s="700" t="s">
        <v>546</v>
      </c>
      <c r="H24" s="700"/>
    </row>
    <row r="25" spans="1:8" x14ac:dyDescent="0.25">
      <c r="A25" s="352" t="s">
        <v>917</v>
      </c>
      <c r="B25" s="262" t="s">
        <v>547</v>
      </c>
      <c r="C25" s="31">
        <v>1</v>
      </c>
      <c r="D25" s="458" t="s">
        <v>548</v>
      </c>
      <c r="E25" s="238">
        <v>1</v>
      </c>
      <c r="F25" s="20" t="s">
        <v>29</v>
      </c>
      <c r="G25" s="258"/>
    </row>
    <row r="26" spans="1:8" ht="14.25" customHeight="1" x14ac:dyDescent="0.35">
      <c r="B26" s="239"/>
      <c r="C26" s="97"/>
      <c r="D26" s="454"/>
      <c r="E26" s="165">
        <v>2</v>
      </c>
      <c r="F26" s="22" t="s">
        <v>26</v>
      </c>
      <c r="G26" s="452" t="s">
        <v>549</v>
      </c>
      <c r="H26" s="493"/>
    </row>
    <row r="27" spans="1:8" x14ac:dyDescent="0.35">
      <c r="B27" s="239"/>
      <c r="C27" s="97"/>
      <c r="D27" s="454"/>
      <c r="E27" s="165">
        <v>-88</v>
      </c>
      <c r="F27" s="22" t="s">
        <v>103</v>
      </c>
      <c r="G27" s="452"/>
      <c r="H27" s="493"/>
    </row>
    <row r="28" spans="1:8" ht="23.25" customHeight="1" x14ac:dyDescent="0.35">
      <c r="B28" s="104"/>
      <c r="C28" s="120"/>
      <c r="D28" s="461"/>
      <c r="E28" s="240">
        <v>-99</v>
      </c>
      <c r="F28" s="2" t="s">
        <v>104</v>
      </c>
      <c r="G28" s="104"/>
    </row>
    <row r="29" spans="1:8" ht="33.75" customHeight="1" x14ac:dyDescent="0.25">
      <c r="A29" s="352" t="s">
        <v>918</v>
      </c>
      <c r="B29" s="258" t="s">
        <v>550</v>
      </c>
      <c r="C29" s="31">
        <v>2</v>
      </c>
      <c r="D29" s="151" t="s">
        <v>551</v>
      </c>
      <c r="E29" s="706" t="s">
        <v>21</v>
      </c>
      <c r="F29" s="707"/>
      <c r="G29" s="20"/>
    </row>
    <row r="30" spans="1:8" ht="26.25" customHeight="1" x14ac:dyDescent="0.25">
      <c r="A30" s="352" t="s">
        <v>919</v>
      </c>
      <c r="B30" s="258" t="s">
        <v>550</v>
      </c>
      <c r="C30" s="31">
        <f>C29+1</f>
        <v>3</v>
      </c>
      <c r="D30" s="151" t="s">
        <v>552</v>
      </c>
      <c r="E30" s="706" t="s">
        <v>553</v>
      </c>
      <c r="F30" s="707"/>
      <c r="G30" s="20"/>
    </row>
    <row r="31" spans="1:8" x14ac:dyDescent="0.25">
      <c r="A31" s="352" t="s">
        <v>920</v>
      </c>
      <c r="B31" s="258" t="s">
        <v>550</v>
      </c>
      <c r="C31" s="31">
        <f>C30+1</f>
        <v>4</v>
      </c>
      <c r="D31" s="463" t="s">
        <v>554</v>
      </c>
      <c r="E31" s="163">
        <v>1</v>
      </c>
      <c r="F31" s="116" t="s">
        <v>337</v>
      </c>
      <c r="G31" s="24"/>
    </row>
    <row r="32" spans="1:8" x14ac:dyDescent="0.35">
      <c r="B32" s="239"/>
      <c r="C32" s="22"/>
      <c r="D32" s="453"/>
      <c r="E32" s="165">
        <f t="shared" ref="E32:E49" si="1">E31+1</f>
        <v>2</v>
      </c>
      <c r="F32" s="81" t="s">
        <v>339</v>
      </c>
      <c r="G32" s="27"/>
    </row>
    <row r="33" spans="2:7" ht="15.75" customHeight="1" x14ac:dyDescent="0.35">
      <c r="B33" s="239"/>
      <c r="C33" s="22"/>
      <c r="D33" s="453"/>
      <c r="E33" s="165">
        <f t="shared" si="1"/>
        <v>3</v>
      </c>
      <c r="F33" s="81" t="s">
        <v>340</v>
      </c>
      <c r="G33" s="239"/>
    </row>
    <row r="34" spans="2:7" x14ac:dyDescent="0.35">
      <c r="B34" s="239"/>
      <c r="C34" s="22"/>
      <c r="D34" s="453"/>
      <c r="E34" s="165">
        <f t="shared" si="1"/>
        <v>4</v>
      </c>
      <c r="F34" s="81" t="s">
        <v>341</v>
      </c>
      <c r="G34" s="239"/>
    </row>
    <row r="35" spans="2:7" x14ac:dyDescent="0.35">
      <c r="B35" s="239"/>
      <c r="C35" s="22"/>
      <c r="D35" s="453"/>
      <c r="E35" s="165">
        <f t="shared" si="1"/>
        <v>5</v>
      </c>
      <c r="F35" s="81" t="s">
        <v>342</v>
      </c>
      <c r="G35" s="239"/>
    </row>
    <row r="36" spans="2:7" x14ac:dyDescent="0.35">
      <c r="B36" s="239"/>
      <c r="C36" s="22"/>
      <c r="D36" s="453"/>
      <c r="E36" s="165">
        <f t="shared" si="1"/>
        <v>6</v>
      </c>
      <c r="F36" s="81" t="s">
        <v>343</v>
      </c>
      <c r="G36" s="239"/>
    </row>
    <row r="37" spans="2:7" x14ac:dyDescent="0.35">
      <c r="B37" s="239"/>
      <c r="C37" s="97"/>
      <c r="D37" s="9"/>
      <c r="E37" s="165">
        <f t="shared" si="1"/>
        <v>7</v>
      </c>
      <c r="F37" s="81" t="s">
        <v>344</v>
      </c>
      <c r="G37" s="239"/>
    </row>
    <row r="38" spans="2:7" x14ac:dyDescent="0.35">
      <c r="B38" s="239"/>
      <c r="C38" s="97"/>
      <c r="D38" s="9"/>
      <c r="E38" s="165">
        <f t="shared" si="1"/>
        <v>8</v>
      </c>
      <c r="F38" s="81" t="s">
        <v>345</v>
      </c>
      <c r="G38" s="239"/>
    </row>
    <row r="39" spans="2:7" x14ac:dyDescent="0.35">
      <c r="B39" s="239"/>
      <c r="C39" s="97"/>
      <c r="D39" s="9"/>
      <c r="E39" s="165">
        <f t="shared" si="1"/>
        <v>9</v>
      </c>
      <c r="F39" s="81" t="s">
        <v>346</v>
      </c>
      <c r="G39" s="239"/>
    </row>
    <row r="40" spans="2:7" x14ac:dyDescent="0.35">
      <c r="B40" s="239"/>
      <c r="C40" s="97"/>
      <c r="D40" s="9"/>
      <c r="E40" s="165">
        <f t="shared" si="1"/>
        <v>10</v>
      </c>
      <c r="F40" s="81" t="s">
        <v>347</v>
      </c>
      <c r="G40" s="239"/>
    </row>
    <row r="41" spans="2:7" x14ac:dyDescent="0.35">
      <c r="B41" s="239"/>
      <c r="C41" s="97"/>
      <c r="D41" s="9"/>
      <c r="E41" s="165">
        <f t="shared" si="1"/>
        <v>11</v>
      </c>
      <c r="F41" s="81" t="s">
        <v>348</v>
      </c>
      <c r="G41" s="239"/>
    </row>
    <row r="42" spans="2:7" x14ac:dyDescent="0.35">
      <c r="B42" s="239"/>
      <c r="C42" s="97"/>
      <c r="D42" s="9"/>
      <c r="E42" s="165">
        <f t="shared" si="1"/>
        <v>12</v>
      </c>
      <c r="F42" s="81" t="s">
        <v>555</v>
      </c>
      <c r="G42" s="239"/>
    </row>
    <row r="43" spans="2:7" x14ac:dyDescent="0.35">
      <c r="B43" s="239"/>
      <c r="C43" s="97"/>
      <c r="D43" s="9"/>
      <c r="E43" s="165">
        <f t="shared" si="1"/>
        <v>13</v>
      </c>
      <c r="F43" s="81" t="s">
        <v>556</v>
      </c>
      <c r="G43" s="239"/>
    </row>
    <row r="44" spans="2:7" x14ac:dyDescent="0.35">
      <c r="B44" s="239"/>
      <c r="C44" s="97"/>
      <c r="D44" s="9"/>
      <c r="E44" s="165">
        <f t="shared" si="1"/>
        <v>14</v>
      </c>
      <c r="F44" s="81" t="s">
        <v>536</v>
      </c>
      <c r="G44" s="239"/>
    </row>
    <row r="45" spans="2:7" x14ac:dyDescent="0.35">
      <c r="B45" s="239"/>
      <c r="C45" s="97"/>
      <c r="D45" s="9"/>
      <c r="E45" s="165">
        <f t="shared" si="1"/>
        <v>15</v>
      </c>
      <c r="F45" s="81" t="s">
        <v>557</v>
      </c>
      <c r="G45" s="239"/>
    </row>
    <row r="46" spans="2:7" x14ac:dyDescent="0.35">
      <c r="B46" s="239"/>
      <c r="C46" s="97"/>
      <c r="D46" s="9"/>
      <c r="E46" s="165">
        <f t="shared" si="1"/>
        <v>16</v>
      </c>
      <c r="F46" s="81" t="s">
        <v>349</v>
      </c>
      <c r="G46" s="239"/>
    </row>
    <row r="47" spans="2:7" x14ac:dyDescent="0.35">
      <c r="B47" s="239"/>
      <c r="C47" s="97"/>
      <c r="D47" s="9"/>
      <c r="E47" s="165">
        <f t="shared" si="1"/>
        <v>17</v>
      </c>
      <c r="F47" s="81" t="s">
        <v>558</v>
      </c>
      <c r="G47" s="239"/>
    </row>
    <row r="48" spans="2:7" x14ac:dyDescent="0.35">
      <c r="B48" s="239"/>
      <c r="C48" s="97"/>
      <c r="D48" s="9"/>
      <c r="E48" s="165">
        <f t="shared" si="1"/>
        <v>18</v>
      </c>
      <c r="F48" s="81" t="s">
        <v>559</v>
      </c>
      <c r="G48" s="239"/>
    </row>
    <row r="49" spans="1:8" x14ac:dyDescent="0.35">
      <c r="B49" s="239"/>
      <c r="C49" s="97"/>
      <c r="D49" s="9"/>
      <c r="E49" s="165">
        <f t="shared" si="1"/>
        <v>19</v>
      </c>
      <c r="F49" s="82" t="s">
        <v>350</v>
      </c>
      <c r="G49" s="239"/>
    </row>
    <row r="50" spans="1:8" x14ac:dyDescent="0.35">
      <c r="B50" s="239"/>
      <c r="C50" s="97"/>
      <c r="D50" s="9"/>
      <c r="E50" s="165">
        <v>-66</v>
      </c>
      <c r="F50" s="81" t="s">
        <v>560</v>
      </c>
      <c r="G50" s="239"/>
    </row>
    <row r="51" spans="1:8" ht="36.75" customHeight="1" x14ac:dyDescent="0.25">
      <c r="A51" s="352" t="s">
        <v>921</v>
      </c>
      <c r="B51" s="256" t="s">
        <v>550</v>
      </c>
      <c r="C51" s="241">
        <f>C31+1</f>
        <v>5</v>
      </c>
      <c r="D51" s="30" t="s">
        <v>561</v>
      </c>
      <c r="E51" s="490" t="s">
        <v>562</v>
      </c>
      <c r="F51" s="491"/>
      <c r="G51" s="104"/>
    </row>
    <row r="52" spans="1:8" x14ac:dyDescent="0.25">
      <c r="A52" s="352" t="s">
        <v>922</v>
      </c>
      <c r="B52" s="262" t="s">
        <v>550</v>
      </c>
      <c r="C52" s="31">
        <f>C51+1</f>
        <v>6</v>
      </c>
      <c r="D52" s="458" t="s">
        <v>563</v>
      </c>
      <c r="E52" s="238">
        <v>1</v>
      </c>
      <c r="F52" s="20" t="s">
        <v>29</v>
      </c>
      <c r="G52" s="258"/>
    </row>
    <row r="53" spans="1:8" ht="13.5" customHeight="1" x14ac:dyDescent="0.35">
      <c r="B53" s="239"/>
      <c r="C53" s="97"/>
      <c r="D53" s="454"/>
      <c r="E53" s="165">
        <v>2</v>
      </c>
      <c r="F53" s="22" t="s">
        <v>26</v>
      </c>
      <c r="G53" s="452"/>
      <c r="H53" s="493"/>
    </row>
    <row r="54" spans="1:8" x14ac:dyDescent="0.35">
      <c r="B54" s="239"/>
      <c r="C54" s="97"/>
      <c r="D54" s="454"/>
      <c r="E54" s="165">
        <v>-88</v>
      </c>
      <c r="F54" s="22" t="s">
        <v>103</v>
      </c>
      <c r="G54" s="452"/>
      <c r="H54" s="493"/>
    </row>
    <row r="55" spans="1:8" x14ac:dyDescent="0.35">
      <c r="B55" s="104"/>
      <c r="C55" s="120"/>
      <c r="D55" s="461"/>
      <c r="E55" s="240">
        <v>-99</v>
      </c>
      <c r="F55" s="2" t="s">
        <v>104</v>
      </c>
      <c r="G55" s="104"/>
    </row>
    <row r="56" spans="1:8" x14ac:dyDescent="0.25">
      <c r="A56" s="352" t="s">
        <v>923</v>
      </c>
      <c r="B56" s="258" t="s">
        <v>550</v>
      </c>
      <c r="C56" s="31">
        <f>C52+1</f>
        <v>7</v>
      </c>
      <c r="D56" s="463" t="s">
        <v>564</v>
      </c>
      <c r="E56" s="238">
        <v>1</v>
      </c>
      <c r="F56" s="82" t="s">
        <v>565</v>
      </c>
      <c r="G56" s="24"/>
    </row>
    <row r="57" spans="1:8" x14ac:dyDescent="0.35">
      <c r="B57" s="239"/>
      <c r="C57" s="22"/>
      <c r="D57" s="453"/>
      <c r="E57" s="165">
        <f t="shared" ref="E57:E62" si="2">E56+1</f>
        <v>2</v>
      </c>
      <c r="F57" s="82" t="s">
        <v>566</v>
      </c>
      <c r="G57" s="27"/>
    </row>
    <row r="58" spans="1:8" ht="12.75" customHeight="1" x14ac:dyDescent="0.35">
      <c r="B58" s="239"/>
      <c r="C58" s="22"/>
      <c r="D58" s="453"/>
      <c r="E58" s="165">
        <f t="shared" si="2"/>
        <v>3</v>
      </c>
      <c r="F58" s="82" t="s">
        <v>567</v>
      </c>
      <c r="G58" s="239"/>
    </row>
    <row r="59" spans="1:8" x14ac:dyDescent="0.35">
      <c r="B59" s="239"/>
      <c r="C59" s="22"/>
      <c r="D59" s="453"/>
      <c r="E59" s="165">
        <f t="shared" si="2"/>
        <v>4</v>
      </c>
      <c r="F59" s="82" t="s">
        <v>568</v>
      </c>
      <c r="G59" s="239"/>
    </row>
    <row r="60" spans="1:8" x14ac:dyDescent="0.35">
      <c r="B60" s="239"/>
      <c r="C60" s="22"/>
      <c r="D60" s="453"/>
      <c r="E60" s="165">
        <f t="shared" si="2"/>
        <v>5</v>
      </c>
      <c r="F60" s="82" t="s">
        <v>569</v>
      </c>
      <c r="G60" s="239"/>
    </row>
    <row r="61" spans="1:8" ht="26" x14ac:dyDescent="0.35">
      <c r="B61" s="239"/>
      <c r="C61" s="22"/>
      <c r="D61" s="453"/>
      <c r="E61" s="165">
        <f t="shared" si="2"/>
        <v>6</v>
      </c>
      <c r="F61" s="81" t="s">
        <v>570</v>
      </c>
      <c r="G61" s="239"/>
    </row>
    <row r="62" spans="1:8" x14ac:dyDescent="0.35">
      <c r="B62" s="239"/>
      <c r="C62" s="97"/>
      <c r="D62" s="454"/>
      <c r="E62" s="165">
        <f t="shared" si="2"/>
        <v>7</v>
      </c>
      <c r="F62" s="82" t="s">
        <v>571</v>
      </c>
      <c r="G62" s="239"/>
    </row>
    <row r="63" spans="1:8" x14ac:dyDescent="0.35">
      <c r="B63" s="239"/>
      <c r="C63" s="97"/>
      <c r="D63" s="454"/>
      <c r="E63" s="165">
        <v>8</v>
      </c>
      <c r="F63" s="82" t="s">
        <v>572</v>
      </c>
      <c r="G63" s="239"/>
    </row>
    <row r="64" spans="1:8" x14ac:dyDescent="0.35">
      <c r="B64" s="239"/>
      <c r="C64" s="97"/>
      <c r="D64" s="454"/>
      <c r="E64" s="165">
        <v>9</v>
      </c>
      <c r="F64" s="82" t="s">
        <v>573</v>
      </c>
      <c r="G64" s="239"/>
    </row>
    <row r="65" spans="1:7" x14ac:dyDescent="0.35">
      <c r="B65" s="239"/>
      <c r="C65" s="97"/>
      <c r="D65" s="454"/>
      <c r="E65" s="300">
        <v>-99</v>
      </c>
      <c r="F65" s="97" t="s">
        <v>266</v>
      </c>
      <c r="G65" s="239"/>
    </row>
    <row r="66" spans="1:7" x14ac:dyDescent="0.35">
      <c r="B66" s="239"/>
      <c r="C66" s="97"/>
      <c r="D66" s="454"/>
      <c r="E66" s="300">
        <v>-88</v>
      </c>
      <c r="F66" s="97" t="s">
        <v>103</v>
      </c>
      <c r="G66" s="239"/>
    </row>
    <row r="67" spans="1:7" x14ac:dyDescent="0.35">
      <c r="B67" s="239"/>
      <c r="C67" s="97"/>
      <c r="D67" s="454"/>
      <c r="E67" s="300">
        <v>-77</v>
      </c>
      <c r="F67" s="97" t="s">
        <v>292</v>
      </c>
      <c r="G67" s="239"/>
    </row>
    <row r="68" spans="1:7" x14ac:dyDescent="0.35">
      <c r="B68" s="239"/>
      <c r="C68" s="97"/>
      <c r="D68" s="454"/>
      <c r="E68" s="301">
        <v>-66</v>
      </c>
      <c r="F68" s="120" t="s">
        <v>330</v>
      </c>
      <c r="G68" s="239"/>
    </row>
    <row r="69" spans="1:7" x14ac:dyDescent="0.25">
      <c r="A69" s="352" t="s">
        <v>924</v>
      </c>
      <c r="B69" s="262" t="s">
        <v>550</v>
      </c>
      <c r="C69" s="31">
        <f>C56+1</f>
        <v>8</v>
      </c>
      <c r="D69" s="458" t="s">
        <v>574</v>
      </c>
      <c r="E69" s="238">
        <v>1</v>
      </c>
      <c r="F69" s="20" t="s">
        <v>29</v>
      </c>
      <c r="G69" s="258"/>
    </row>
    <row r="70" spans="1:7" x14ac:dyDescent="0.35">
      <c r="B70" s="239"/>
      <c r="C70" s="97"/>
      <c r="D70" s="454"/>
      <c r="E70" s="165">
        <v>2</v>
      </c>
      <c r="F70" s="22" t="s">
        <v>26</v>
      </c>
      <c r="G70" s="239" t="s">
        <v>575</v>
      </c>
    </row>
    <row r="71" spans="1:7" x14ac:dyDescent="0.35">
      <c r="B71" s="239"/>
      <c r="C71" s="97"/>
      <c r="D71" s="454"/>
      <c r="E71" s="165">
        <v>-88</v>
      </c>
      <c r="F71" s="22" t="s">
        <v>103</v>
      </c>
      <c r="G71" s="239"/>
    </row>
    <row r="72" spans="1:7" x14ac:dyDescent="0.35">
      <c r="B72" s="104"/>
      <c r="C72" s="120"/>
      <c r="D72" s="461"/>
      <c r="E72" s="240">
        <v>-99</v>
      </c>
      <c r="F72" s="2" t="s">
        <v>104</v>
      </c>
      <c r="G72" s="104"/>
    </row>
    <row r="73" spans="1:7" ht="39" customHeight="1" x14ac:dyDescent="0.25">
      <c r="A73" s="352" t="s">
        <v>925</v>
      </c>
      <c r="B73" s="263" t="s">
        <v>550</v>
      </c>
      <c r="C73" s="86">
        <f>C69+1</f>
        <v>9</v>
      </c>
      <c r="D73" s="30" t="s">
        <v>576</v>
      </c>
      <c r="E73" s="490" t="s">
        <v>577</v>
      </c>
      <c r="F73" s="491"/>
      <c r="G73" s="261"/>
    </row>
    <row r="74" spans="1:7" ht="26" x14ac:dyDescent="0.25">
      <c r="A74" s="352" t="s">
        <v>926</v>
      </c>
      <c r="B74" s="263" t="s">
        <v>550</v>
      </c>
      <c r="C74" s="86">
        <f>C73+1</f>
        <v>10</v>
      </c>
      <c r="D74" s="30" t="s">
        <v>578</v>
      </c>
      <c r="E74" s="490" t="s">
        <v>577</v>
      </c>
      <c r="F74" s="491"/>
      <c r="G74" s="261"/>
    </row>
    <row r="75" spans="1:7" x14ac:dyDescent="0.25">
      <c r="A75" s="352"/>
      <c r="B75" s="262"/>
      <c r="C75" s="31"/>
      <c r="D75" s="24"/>
      <c r="E75" s="419"/>
      <c r="F75" s="420"/>
      <c r="G75" s="258"/>
    </row>
    <row r="76" spans="1:7" x14ac:dyDescent="0.25">
      <c r="A76" s="352" t="s">
        <v>927</v>
      </c>
      <c r="B76" s="262" t="s">
        <v>550</v>
      </c>
      <c r="C76" s="31">
        <v>11</v>
      </c>
      <c r="D76" s="458" t="s">
        <v>579</v>
      </c>
      <c r="E76" s="238">
        <v>1</v>
      </c>
      <c r="F76" s="20" t="s">
        <v>29</v>
      </c>
      <c r="G76" s="258"/>
    </row>
    <row r="77" spans="1:7" x14ac:dyDescent="0.35">
      <c r="B77" s="239"/>
      <c r="C77" s="97"/>
      <c r="D77" s="454"/>
      <c r="E77" s="165">
        <v>2</v>
      </c>
      <c r="F77" s="22" t="s">
        <v>26</v>
      </c>
      <c r="G77" s="239" t="s">
        <v>580</v>
      </c>
    </row>
    <row r="78" spans="1:7" x14ac:dyDescent="0.35">
      <c r="B78" s="239"/>
      <c r="C78" s="97"/>
      <c r="D78" s="454"/>
      <c r="E78" s="165">
        <v>-88</v>
      </c>
      <c r="F78" s="22" t="s">
        <v>103</v>
      </c>
      <c r="G78" s="239"/>
    </row>
    <row r="79" spans="1:7" x14ac:dyDescent="0.35">
      <c r="B79" s="104"/>
      <c r="C79" s="120"/>
      <c r="D79" s="461"/>
      <c r="E79" s="240">
        <v>-99</v>
      </c>
      <c r="F79" s="2" t="s">
        <v>104</v>
      </c>
      <c r="G79" s="104"/>
    </row>
    <row r="80" spans="1:7" ht="26" x14ac:dyDescent="0.25">
      <c r="A80" s="352" t="s">
        <v>928</v>
      </c>
      <c r="B80" s="263" t="s">
        <v>550</v>
      </c>
      <c r="C80" s="86">
        <v>12</v>
      </c>
      <c r="D80" s="30" t="s">
        <v>581</v>
      </c>
      <c r="E80" s="490" t="s">
        <v>577</v>
      </c>
      <c r="F80" s="491"/>
      <c r="G80" s="261"/>
    </row>
  </sheetData>
  <mergeCells count="40">
    <mergeCell ref="E11:F11"/>
    <mergeCell ref="B1:H1"/>
    <mergeCell ref="B2:C2"/>
    <mergeCell ref="E2:F2"/>
    <mergeCell ref="G2:H2"/>
    <mergeCell ref="B3:D3"/>
    <mergeCell ref="E4:F4"/>
    <mergeCell ref="G4:H5"/>
    <mergeCell ref="E5:F5"/>
    <mergeCell ref="E6:F6"/>
    <mergeCell ref="E7:F7"/>
    <mergeCell ref="E8:F8"/>
    <mergeCell ref="E9:F9"/>
    <mergeCell ref="E10:F10"/>
    <mergeCell ref="E12:F12"/>
    <mergeCell ref="E13:F13"/>
    <mergeCell ref="D19:D20"/>
    <mergeCell ref="E21:F21"/>
    <mergeCell ref="D16:D18"/>
    <mergeCell ref="E16:F18"/>
    <mergeCell ref="E14:F14"/>
    <mergeCell ref="E15:F15"/>
    <mergeCell ref="B23:H23"/>
    <mergeCell ref="E51:F51"/>
    <mergeCell ref="D52:D55"/>
    <mergeCell ref="G53:H54"/>
    <mergeCell ref="D56:D61"/>
    <mergeCell ref="E24:F24"/>
    <mergeCell ref="D25:D28"/>
    <mergeCell ref="G26:H27"/>
    <mergeCell ref="E29:F29"/>
    <mergeCell ref="E30:F30"/>
    <mergeCell ref="D31:D36"/>
    <mergeCell ref="E73:F73"/>
    <mergeCell ref="E74:F74"/>
    <mergeCell ref="D76:D79"/>
    <mergeCell ref="E80:F80"/>
    <mergeCell ref="G24:H24"/>
    <mergeCell ref="D62:D68"/>
    <mergeCell ref="D69:D72"/>
  </mergeCells>
  <pageMargins left="0.7" right="0.7" top="0.75" bottom="0.75" header="0.3" footer="0.3"/>
  <pageSetup orientation="portrait" r:id="rId1"/>
  <headerFooter>
    <oddHeader xml:space="preserve">&amp;C&amp;"-,Bold"Borrowing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5"/>
  <sheetViews>
    <sheetView view="pageLayout" topLeftCell="B1" zoomScaleNormal="100" workbookViewId="0">
      <selection activeCell="B7" sqref="B7:G8"/>
    </sheetView>
  </sheetViews>
  <sheetFormatPr defaultRowHeight="14.5" x14ac:dyDescent="0.35"/>
  <cols>
    <col min="1" max="1" width="0" style="351" hidden="1" customWidth="1"/>
    <col min="2" max="2" width="4.81640625" customWidth="1"/>
    <col min="3" max="3" width="4" customWidth="1"/>
    <col min="4" max="4" width="38" customWidth="1"/>
    <col min="6" max="6" width="20.54296875" customWidth="1"/>
  </cols>
  <sheetData>
    <row r="1" spans="1:7" x14ac:dyDescent="0.35">
      <c r="A1" s="351" t="s">
        <v>839</v>
      </c>
      <c r="B1" s="376" t="s">
        <v>0</v>
      </c>
      <c r="C1" s="302"/>
      <c r="D1" s="303" t="s">
        <v>255</v>
      </c>
      <c r="E1" s="724" t="s">
        <v>256</v>
      </c>
      <c r="F1" s="725"/>
      <c r="G1" s="304" t="s">
        <v>546</v>
      </c>
    </row>
    <row r="2" spans="1:7" ht="15" customHeight="1" x14ac:dyDescent="0.35">
      <c r="A2" s="352" t="s">
        <v>929</v>
      </c>
      <c r="B2" s="118" t="s">
        <v>582</v>
      </c>
      <c r="C2" s="31" t="s">
        <v>583</v>
      </c>
      <c r="D2" s="458" t="s">
        <v>584</v>
      </c>
      <c r="E2" s="238">
        <v>1</v>
      </c>
      <c r="F2" s="20" t="s">
        <v>29</v>
      </c>
      <c r="G2" s="258"/>
    </row>
    <row r="3" spans="1:7" ht="15" customHeight="1" x14ac:dyDescent="0.35">
      <c r="B3" s="164"/>
      <c r="C3" s="97"/>
      <c r="D3" s="454"/>
      <c r="E3" s="165">
        <v>2</v>
      </c>
      <c r="F3" s="22" t="s">
        <v>26</v>
      </c>
      <c r="G3" s="454" t="s">
        <v>585</v>
      </c>
    </row>
    <row r="4" spans="1:7" x14ac:dyDescent="0.35">
      <c r="B4" s="164"/>
      <c r="C4" s="97"/>
      <c r="D4" s="454"/>
      <c r="E4" s="165">
        <v>-88</v>
      </c>
      <c r="F4" s="22" t="s">
        <v>103</v>
      </c>
      <c r="G4" s="454"/>
    </row>
    <row r="5" spans="1:7" x14ac:dyDescent="0.35">
      <c r="B5" s="181"/>
      <c r="C5" s="120"/>
      <c r="D5" s="461"/>
      <c r="E5" s="240">
        <v>-99</v>
      </c>
      <c r="F5" s="2" t="s">
        <v>104</v>
      </c>
      <c r="G5" s="104"/>
    </row>
    <row r="6" spans="1:7" ht="26" x14ac:dyDescent="0.35">
      <c r="A6" s="352" t="s">
        <v>930</v>
      </c>
      <c r="B6" s="261" t="s">
        <v>582</v>
      </c>
      <c r="C6" s="31" t="s">
        <v>586</v>
      </c>
      <c r="D6" s="151" t="s">
        <v>587</v>
      </c>
      <c r="E6" s="706" t="s">
        <v>21</v>
      </c>
      <c r="F6" s="707"/>
      <c r="G6" s="20"/>
    </row>
    <row r="7" spans="1:7" ht="15" customHeight="1" x14ac:dyDescent="0.35">
      <c r="A7" s="377"/>
      <c r="B7" s="500" t="s">
        <v>588</v>
      </c>
      <c r="C7" s="726"/>
      <c r="D7" s="726"/>
      <c r="E7" s="726"/>
      <c r="F7" s="726"/>
      <c r="G7" s="501"/>
    </row>
    <row r="8" spans="1:7" ht="51.75" customHeight="1" x14ac:dyDescent="0.35">
      <c r="A8" s="352"/>
      <c r="B8" s="502"/>
      <c r="C8" s="727"/>
      <c r="D8" s="727"/>
      <c r="E8" s="727"/>
      <c r="F8" s="727"/>
      <c r="G8" s="503"/>
    </row>
    <row r="9" spans="1:7" ht="25.5" customHeight="1" x14ac:dyDescent="0.35">
      <c r="A9" s="352" t="s">
        <v>931</v>
      </c>
      <c r="B9" s="258" t="s">
        <v>582</v>
      </c>
      <c r="C9" s="31">
        <v>2</v>
      </c>
      <c r="D9" s="151" t="s">
        <v>589</v>
      </c>
      <c r="E9" s="562" t="s">
        <v>553</v>
      </c>
      <c r="F9" s="564"/>
      <c r="G9" s="20"/>
    </row>
    <row r="10" spans="1:7" ht="25.5" customHeight="1" x14ac:dyDescent="0.35">
      <c r="A10" s="352" t="s">
        <v>932</v>
      </c>
      <c r="B10" s="258" t="s">
        <v>582</v>
      </c>
      <c r="C10" s="31">
        <f>C9+1</f>
        <v>3</v>
      </c>
      <c r="D10" s="463" t="s">
        <v>590</v>
      </c>
      <c r="E10" s="238">
        <v>1</v>
      </c>
      <c r="F10" s="116" t="s">
        <v>337</v>
      </c>
      <c r="G10" s="24"/>
    </row>
    <row r="11" spans="1:7" x14ac:dyDescent="0.35">
      <c r="B11" s="239"/>
      <c r="C11" s="22"/>
      <c r="D11" s="453"/>
      <c r="E11" s="165">
        <v>2</v>
      </c>
      <c r="F11" s="81" t="s">
        <v>339</v>
      </c>
      <c r="G11" s="27"/>
    </row>
    <row r="12" spans="1:7" ht="26" x14ac:dyDescent="0.35">
      <c r="B12" s="239"/>
      <c r="C12" s="22"/>
      <c r="D12" s="453"/>
      <c r="E12" s="165">
        <v>3</v>
      </c>
      <c r="F12" s="81" t="s">
        <v>340</v>
      </c>
      <c r="G12" s="239"/>
    </row>
    <row r="13" spans="1:7" x14ac:dyDescent="0.35">
      <c r="B13" s="239"/>
      <c r="C13" s="22"/>
      <c r="D13" s="453"/>
      <c r="E13" s="165">
        <v>4</v>
      </c>
      <c r="F13" s="81" t="s">
        <v>341</v>
      </c>
      <c r="G13" s="239"/>
    </row>
    <row r="14" spans="1:7" x14ac:dyDescent="0.35">
      <c r="B14" s="239"/>
      <c r="C14" s="22"/>
      <c r="D14" s="453"/>
      <c r="E14" s="165">
        <v>5</v>
      </c>
      <c r="F14" s="81" t="s">
        <v>342</v>
      </c>
      <c r="G14" s="239"/>
    </row>
    <row r="15" spans="1:7" ht="27.75" customHeight="1" x14ac:dyDescent="0.35">
      <c r="B15" s="239"/>
      <c r="C15" s="22"/>
      <c r="D15" s="453"/>
      <c r="E15" s="165">
        <v>6</v>
      </c>
      <c r="F15" s="81" t="s">
        <v>343</v>
      </c>
      <c r="G15" s="239"/>
    </row>
    <row r="16" spans="1:7" x14ac:dyDescent="0.35">
      <c r="B16" s="239"/>
      <c r="C16" s="97"/>
      <c r="D16" s="9"/>
      <c r="E16" s="165">
        <v>7</v>
      </c>
      <c r="F16" s="81" t="s">
        <v>344</v>
      </c>
      <c r="G16" s="239"/>
    </row>
    <row r="17" spans="1:7" x14ac:dyDescent="0.35">
      <c r="B17" s="239"/>
      <c r="C17" s="97"/>
      <c r="D17" s="9"/>
      <c r="E17" s="165">
        <v>8</v>
      </c>
      <c r="F17" s="81" t="s">
        <v>345</v>
      </c>
      <c r="G17" s="239"/>
    </row>
    <row r="18" spans="1:7" x14ac:dyDescent="0.35">
      <c r="B18" s="239"/>
      <c r="C18" s="97"/>
      <c r="D18" s="9"/>
      <c r="E18" s="165">
        <v>9</v>
      </c>
      <c r="F18" s="81" t="s">
        <v>346</v>
      </c>
      <c r="G18" s="239"/>
    </row>
    <row r="19" spans="1:7" x14ac:dyDescent="0.35">
      <c r="B19" s="239"/>
      <c r="C19" s="97"/>
      <c r="D19" s="9"/>
      <c r="E19" s="165">
        <v>10</v>
      </c>
      <c r="F19" s="81" t="s">
        <v>347</v>
      </c>
      <c r="G19" s="239"/>
    </row>
    <row r="20" spans="1:7" x14ac:dyDescent="0.35">
      <c r="B20" s="239"/>
      <c r="C20" s="97"/>
      <c r="D20" s="9"/>
      <c r="E20" s="165">
        <v>11</v>
      </c>
      <c r="F20" s="81" t="s">
        <v>348</v>
      </c>
      <c r="G20" s="239"/>
    </row>
    <row r="21" spans="1:7" ht="30" customHeight="1" x14ac:dyDescent="0.35">
      <c r="B21" s="239"/>
      <c r="C21" s="97"/>
      <c r="D21" s="9"/>
      <c r="E21" s="165">
        <v>12</v>
      </c>
      <c r="F21" s="81" t="s">
        <v>555</v>
      </c>
      <c r="G21" s="239"/>
    </row>
    <row r="22" spans="1:7" ht="17.25" customHeight="1" x14ac:dyDescent="0.35">
      <c r="B22" s="239"/>
      <c r="C22" s="97"/>
      <c r="D22" s="9"/>
      <c r="E22" s="165">
        <v>13</v>
      </c>
      <c r="F22" s="81" t="s">
        <v>556</v>
      </c>
      <c r="G22" s="239"/>
    </row>
    <row r="23" spans="1:7" x14ac:dyDescent="0.35">
      <c r="B23" s="239"/>
      <c r="C23" s="97"/>
      <c r="D23" s="9"/>
      <c r="E23" s="165">
        <v>14</v>
      </c>
      <c r="F23" s="81" t="s">
        <v>557</v>
      </c>
      <c r="G23" s="239"/>
    </row>
    <row r="24" spans="1:7" x14ac:dyDescent="0.35">
      <c r="B24" s="239"/>
      <c r="C24" s="97"/>
      <c r="D24" s="9"/>
      <c r="E24" s="165">
        <v>15</v>
      </c>
      <c r="F24" s="82" t="s">
        <v>349</v>
      </c>
      <c r="G24" s="239"/>
    </row>
    <row r="25" spans="1:7" x14ac:dyDescent="0.35">
      <c r="B25" s="239"/>
      <c r="C25" s="97"/>
      <c r="D25" s="9"/>
      <c r="E25" s="165">
        <v>16</v>
      </c>
      <c r="F25" s="82" t="s">
        <v>558</v>
      </c>
      <c r="G25" s="239"/>
    </row>
    <row r="26" spans="1:7" x14ac:dyDescent="0.35">
      <c r="B26" s="239"/>
      <c r="C26" s="97"/>
      <c r="D26" s="9"/>
      <c r="E26" s="165">
        <v>17</v>
      </c>
      <c r="F26" s="82" t="s">
        <v>559</v>
      </c>
      <c r="G26" s="239"/>
    </row>
    <row r="27" spans="1:7" x14ac:dyDescent="0.35">
      <c r="B27" s="239"/>
      <c r="C27" s="97"/>
      <c r="D27" s="9"/>
      <c r="E27" s="165">
        <v>18</v>
      </c>
      <c r="F27" s="82" t="s">
        <v>350</v>
      </c>
      <c r="G27" s="239"/>
    </row>
    <row r="28" spans="1:7" x14ac:dyDescent="0.35">
      <c r="B28" s="239"/>
      <c r="C28" s="97"/>
      <c r="D28" s="9"/>
      <c r="E28" s="165">
        <v>19</v>
      </c>
      <c r="F28" s="82" t="s">
        <v>591</v>
      </c>
      <c r="G28" s="239"/>
    </row>
    <row r="29" spans="1:7" ht="26" x14ac:dyDescent="0.35">
      <c r="B29" s="104"/>
      <c r="C29" s="120"/>
      <c r="D29" s="12"/>
      <c r="E29" s="240">
        <v>-66</v>
      </c>
      <c r="F29" s="195" t="s">
        <v>592</v>
      </c>
      <c r="G29" s="104"/>
    </row>
    <row r="30" spans="1:7" ht="45.75" customHeight="1" x14ac:dyDescent="0.35">
      <c r="A30" s="352" t="s">
        <v>933</v>
      </c>
      <c r="B30" s="259" t="s">
        <v>582</v>
      </c>
      <c r="C30" s="260">
        <f>C10+1</f>
        <v>4</v>
      </c>
      <c r="D30" s="24" t="s">
        <v>593</v>
      </c>
      <c r="E30" s="490" t="s">
        <v>562</v>
      </c>
      <c r="F30" s="491"/>
      <c r="G30" s="261"/>
    </row>
    <row r="31" spans="1:7" ht="15" customHeight="1" x14ac:dyDescent="0.35">
      <c r="A31" s="352" t="s">
        <v>934</v>
      </c>
      <c r="B31" s="262" t="s">
        <v>582</v>
      </c>
      <c r="C31" s="31">
        <f>C30+1</f>
        <v>5</v>
      </c>
      <c r="D31" s="458" t="s">
        <v>594</v>
      </c>
      <c r="E31" s="238">
        <v>1</v>
      </c>
      <c r="F31" s="20" t="s">
        <v>29</v>
      </c>
      <c r="G31" s="258"/>
    </row>
    <row r="32" spans="1:7" x14ac:dyDescent="0.35">
      <c r="B32" s="239"/>
      <c r="C32" s="97"/>
      <c r="D32" s="454"/>
      <c r="E32" s="165">
        <v>2</v>
      </c>
      <c r="F32" s="22" t="s">
        <v>26</v>
      </c>
      <c r="G32" s="239"/>
    </row>
    <row r="33" spans="1:7" x14ac:dyDescent="0.35">
      <c r="B33" s="239"/>
      <c r="C33" s="97"/>
      <c r="D33" s="454"/>
      <c r="E33" s="165">
        <v>-88</v>
      </c>
      <c r="F33" s="22" t="s">
        <v>103</v>
      </c>
      <c r="G33" s="239"/>
    </row>
    <row r="34" spans="1:7" x14ac:dyDescent="0.35">
      <c r="B34" s="104"/>
      <c r="C34" s="120"/>
      <c r="D34" s="461"/>
      <c r="E34" s="240">
        <v>-99</v>
      </c>
      <c r="F34" s="2" t="s">
        <v>104</v>
      </c>
      <c r="G34" s="104"/>
    </row>
    <row r="35" spans="1:7" ht="26" x14ac:dyDescent="0.35">
      <c r="A35" s="352" t="s">
        <v>935</v>
      </c>
      <c r="B35" s="263" t="s">
        <v>582</v>
      </c>
      <c r="C35" s="86">
        <f>C31+1</f>
        <v>6</v>
      </c>
      <c r="D35" s="30" t="s">
        <v>595</v>
      </c>
      <c r="E35" s="490" t="s">
        <v>577</v>
      </c>
      <c r="F35" s="491"/>
      <c r="G35" s="264"/>
    </row>
  </sheetData>
  <mergeCells count="10">
    <mergeCell ref="G3:G4"/>
    <mergeCell ref="E6:F6"/>
    <mergeCell ref="B7:G8"/>
    <mergeCell ref="E9:F9"/>
    <mergeCell ref="D10:D15"/>
    <mergeCell ref="E30:F30"/>
    <mergeCell ref="D31:D34"/>
    <mergeCell ref="E35:F35"/>
    <mergeCell ref="E1:F1"/>
    <mergeCell ref="D2:D5"/>
  </mergeCells>
  <pageMargins left="0.7" right="0.7" top="0.75" bottom="0.75" header="0.3" footer="0.3"/>
  <pageSetup orientation="portrait" r:id="rId1"/>
  <headerFooter>
    <oddHeader xml:space="preserve">&amp;C&amp;"-,Bold"Lending &amp;"-,Regular"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2"/>
  <sheetViews>
    <sheetView showWhiteSpace="0" view="pageLayout" topLeftCell="B1" zoomScaleNormal="100" workbookViewId="0">
      <selection activeCell="B1" sqref="B1:G1"/>
    </sheetView>
  </sheetViews>
  <sheetFormatPr defaultColWidth="9.1796875" defaultRowHeight="14" x14ac:dyDescent="0.3"/>
  <cols>
    <col min="1" max="1" width="9.1796875" style="425" hidden="1" customWidth="1"/>
    <col min="2" max="2" width="3.54296875" style="426" customWidth="1"/>
    <col min="3" max="3" width="4.1796875" style="426" customWidth="1"/>
    <col min="4" max="4" width="29.81640625" style="426" customWidth="1"/>
    <col min="5" max="5" width="9.1796875" style="426"/>
    <col min="6" max="6" width="18.54296875" style="426" customWidth="1"/>
    <col min="7" max="7" width="13" style="426" customWidth="1"/>
    <col min="8" max="16384" width="9.1796875" style="426"/>
  </cols>
  <sheetData>
    <row r="1" spans="1:7" ht="42" customHeight="1" x14ac:dyDescent="0.3">
      <c r="B1" s="520" t="s">
        <v>995</v>
      </c>
      <c r="C1" s="521"/>
      <c r="D1" s="521"/>
      <c r="E1" s="521"/>
      <c r="F1" s="521"/>
      <c r="G1" s="522"/>
    </row>
    <row r="2" spans="1:7" x14ac:dyDescent="0.3">
      <c r="B2" s="731" t="s">
        <v>0</v>
      </c>
      <c r="C2" s="732"/>
      <c r="D2" s="389" t="s">
        <v>1</v>
      </c>
      <c r="E2" s="731" t="s">
        <v>2</v>
      </c>
      <c r="F2" s="733"/>
      <c r="G2" s="391" t="s">
        <v>257</v>
      </c>
    </row>
    <row r="3" spans="1:7" x14ac:dyDescent="0.3">
      <c r="A3" s="425" t="s">
        <v>1102</v>
      </c>
      <c r="B3" s="427" t="s">
        <v>981</v>
      </c>
      <c r="C3" s="428">
        <v>1</v>
      </c>
      <c r="D3" s="728" t="s">
        <v>982</v>
      </c>
      <c r="E3" s="428">
        <v>1</v>
      </c>
      <c r="F3" s="428" t="s">
        <v>983</v>
      </c>
      <c r="G3" s="429"/>
    </row>
    <row r="4" spans="1:7" x14ac:dyDescent="0.3">
      <c r="B4" s="430"/>
      <c r="D4" s="729"/>
      <c r="E4" s="426">
        <v>2</v>
      </c>
      <c r="F4" s="426" t="s">
        <v>984</v>
      </c>
      <c r="G4" s="431"/>
    </row>
    <row r="5" spans="1:7" x14ac:dyDescent="0.3">
      <c r="B5" s="430"/>
      <c r="D5" s="729"/>
      <c r="E5" s="426">
        <v>3</v>
      </c>
      <c r="F5" s="426" t="s">
        <v>985</v>
      </c>
      <c r="G5" s="431"/>
    </row>
    <row r="6" spans="1:7" x14ac:dyDescent="0.3">
      <c r="B6" s="432"/>
      <c r="C6" s="433"/>
      <c r="D6" s="730"/>
      <c r="E6" s="433">
        <v>4</v>
      </c>
      <c r="F6" s="433" t="s">
        <v>986</v>
      </c>
      <c r="G6" s="434"/>
    </row>
    <row r="7" spans="1:7" x14ac:dyDescent="0.3">
      <c r="A7" s="425" t="s">
        <v>1103</v>
      </c>
      <c r="B7" s="427" t="s">
        <v>981</v>
      </c>
      <c r="C7" s="428">
        <v>2</v>
      </c>
      <c r="D7" s="728" t="s">
        <v>987</v>
      </c>
      <c r="E7" s="428">
        <v>1</v>
      </c>
      <c r="F7" s="428" t="s">
        <v>983</v>
      </c>
      <c r="G7" s="429"/>
    </row>
    <row r="8" spans="1:7" x14ac:dyDescent="0.3">
      <c r="B8" s="430"/>
      <c r="D8" s="729"/>
      <c r="E8" s="426">
        <v>2</v>
      </c>
      <c r="F8" s="426" t="s">
        <v>984</v>
      </c>
      <c r="G8" s="431"/>
    </row>
    <row r="9" spans="1:7" x14ac:dyDescent="0.3">
      <c r="B9" s="430"/>
      <c r="D9" s="729"/>
      <c r="E9" s="426">
        <v>3</v>
      </c>
      <c r="F9" s="426" t="s">
        <v>985</v>
      </c>
      <c r="G9" s="431"/>
    </row>
    <row r="10" spans="1:7" x14ac:dyDescent="0.3">
      <c r="B10" s="432"/>
      <c r="C10" s="433"/>
      <c r="D10" s="730"/>
      <c r="E10" s="433">
        <v>4</v>
      </c>
      <c r="F10" s="433" t="s">
        <v>986</v>
      </c>
      <c r="G10" s="434"/>
    </row>
    <row r="11" spans="1:7" ht="16.5" customHeight="1" x14ac:dyDescent="0.3">
      <c r="A11" s="425" t="s">
        <v>1104</v>
      </c>
      <c r="B11" s="427" t="s">
        <v>981</v>
      </c>
      <c r="C11" s="428">
        <v>3</v>
      </c>
      <c r="D11" s="728" t="s">
        <v>990</v>
      </c>
      <c r="E11" s="428">
        <v>1</v>
      </c>
      <c r="F11" s="428" t="s">
        <v>983</v>
      </c>
      <c r="G11" s="429"/>
    </row>
    <row r="12" spans="1:7" x14ac:dyDescent="0.3">
      <c r="B12" s="430"/>
      <c r="D12" s="729"/>
      <c r="E12" s="426">
        <v>2</v>
      </c>
      <c r="F12" s="426" t="s">
        <v>984</v>
      </c>
      <c r="G12" s="431"/>
    </row>
    <row r="13" spans="1:7" x14ac:dyDescent="0.3">
      <c r="B13" s="430"/>
      <c r="D13" s="729"/>
      <c r="E13" s="426">
        <v>3</v>
      </c>
      <c r="F13" s="426" t="s">
        <v>985</v>
      </c>
      <c r="G13" s="431"/>
    </row>
    <row r="14" spans="1:7" x14ac:dyDescent="0.3">
      <c r="B14" s="432"/>
      <c r="C14" s="433"/>
      <c r="D14" s="730"/>
      <c r="E14" s="433">
        <v>4</v>
      </c>
      <c r="F14" s="433" t="s">
        <v>986</v>
      </c>
      <c r="G14" s="434"/>
    </row>
    <row r="15" spans="1:7" x14ac:dyDescent="0.3">
      <c r="A15" s="425" t="s">
        <v>1105</v>
      </c>
      <c r="B15" s="427" t="s">
        <v>981</v>
      </c>
      <c r="C15" s="428">
        <v>4</v>
      </c>
      <c r="D15" s="728" t="s">
        <v>989</v>
      </c>
      <c r="E15" s="428">
        <v>1</v>
      </c>
      <c r="F15" s="428" t="s">
        <v>983</v>
      </c>
      <c r="G15" s="429"/>
    </row>
    <row r="16" spans="1:7" x14ac:dyDescent="0.3">
      <c r="B16" s="430"/>
      <c r="D16" s="729"/>
      <c r="E16" s="426">
        <v>2</v>
      </c>
      <c r="F16" s="426" t="s">
        <v>984</v>
      </c>
      <c r="G16" s="431"/>
    </row>
    <row r="17" spans="1:7" x14ac:dyDescent="0.3">
      <c r="B17" s="430"/>
      <c r="D17" s="729"/>
      <c r="E17" s="426">
        <v>3</v>
      </c>
      <c r="F17" s="426" t="s">
        <v>985</v>
      </c>
      <c r="G17" s="431"/>
    </row>
    <row r="18" spans="1:7" x14ac:dyDescent="0.3">
      <c r="B18" s="432"/>
      <c r="C18" s="433"/>
      <c r="D18" s="730"/>
      <c r="E18" s="433">
        <v>4</v>
      </c>
      <c r="F18" s="433" t="s">
        <v>986</v>
      </c>
      <c r="G18" s="434"/>
    </row>
    <row r="19" spans="1:7" ht="15" customHeight="1" x14ac:dyDescent="0.3">
      <c r="A19" s="425" t="s">
        <v>1106</v>
      </c>
      <c r="B19" s="427" t="s">
        <v>981</v>
      </c>
      <c r="C19" s="428">
        <v>5</v>
      </c>
      <c r="D19" s="728" t="s">
        <v>988</v>
      </c>
      <c r="E19" s="428">
        <v>1</v>
      </c>
      <c r="F19" s="428" t="s">
        <v>983</v>
      </c>
      <c r="G19" s="429"/>
    </row>
    <row r="20" spans="1:7" x14ac:dyDescent="0.3">
      <c r="B20" s="430"/>
      <c r="D20" s="729"/>
      <c r="E20" s="426">
        <v>2</v>
      </c>
      <c r="F20" s="426" t="s">
        <v>984</v>
      </c>
      <c r="G20" s="431"/>
    </row>
    <row r="21" spans="1:7" x14ac:dyDescent="0.3">
      <c r="B21" s="430"/>
      <c r="D21" s="729"/>
      <c r="E21" s="426">
        <v>3</v>
      </c>
      <c r="F21" s="426" t="s">
        <v>985</v>
      </c>
      <c r="G21" s="431"/>
    </row>
    <row r="22" spans="1:7" x14ac:dyDescent="0.3">
      <c r="B22" s="432"/>
      <c r="C22" s="433"/>
      <c r="D22" s="730"/>
      <c r="E22" s="433">
        <v>4</v>
      </c>
      <c r="F22" s="433" t="s">
        <v>986</v>
      </c>
      <c r="G22" s="434"/>
    </row>
    <row r="23" spans="1:7" x14ac:dyDescent="0.3">
      <c r="A23" s="425" t="s">
        <v>1107</v>
      </c>
      <c r="B23" s="427" t="s">
        <v>981</v>
      </c>
      <c r="C23" s="428">
        <v>6</v>
      </c>
      <c r="D23" s="728" t="s">
        <v>991</v>
      </c>
      <c r="E23" s="428">
        <v>1</v>
      </c>
      <c r="F23" s="428" t="s">
        <v>983</v>
      </c>
      <c r="G23" s="429"/>
    </row>
    <row r="24" spans="1:7" x14ac:dyDescent="0.3">
      <c r="B24" s="430"/>
      <c r="D24" s="729"/>
      <c r="E24" s="426">
        <v>2</v>
      </c>
      <c r="F24" s="426" t="s">
        <v>984</v>
      </c>
      <c r="G24" s="431"/>
    </row>
    <row r="25" spans="1:7" x14ac:dyDescent="0.3">
      <c r="B25" s="430"/>
      <c r="D25" s="729"/>
      <c r="E25" s="426">
        <v>3</v>
      </c>
      <c r="F25" s="426" t="s">
        <v>985</v>
      </c>
      <c r="G25" s="431"/>
    </row>
    <row r="26" spans="1:7" x14ac:dyDescent="0.3">
      <c r="B26" s="432"/>
      <c r="C26" s="433"/>
      <c r="D26" s="730"/>
      <c r="E26" s="433">
        <v>4</v>
      </c>
      <c r="F26" s="433" t="s">
        <v>986</v>
      </c>
      <c r="G26" s="434"/>
    </row>
    <row r="27" spans="1:7" x14ac:dyDescent="0.3">
      <c r="A27" s="425" t="s">
        <v>1108</v>
      </c>
      <c r="B27" s="427" t="s">
        <v>981</v>
      </c>
      <c r="C27" s="428">
        <v>7</v>
      </c>
      <c r="D27" s="728" t="s">
        <v>1004</v>
      </c>
      <c r="E27" s="428">
        <v>1</v>
      </c>
      <c r="F27" s="428" t="s">
        <v>983</v>
      </c>
      <c r="G27" s="429"/>
    </row>
    <row r="28" spans="1:7" x14ac:dyDescent="0.3">
      <c r="B28" s="430"/>
      <c r="D28" s="729"/>
      <c r="E28" s="426">
        <v>2</v>
      </c>
      <c r="F28" s="426" t="s">
        <v>984</v>
      </c>
      <c r="G28" s="431"/>
    </row>
    <row r="29" spans="1:7" x14ac:dyDescent="0.3">
      <c r="B29" s="430"/>
      <c r="D29" s="729"/>
      <c r="E29" s="426">
        <v>3</v>
      </c>
      <c r="F29" s="426" t="s">
        <v>985</v>
      </c>
      <c r="G29" s="431"/>
    </row>
    <row r="30" spans="1:7" x14ac:dyDescent="0.3">
      <c r="B30" s="432"/>
      <c r="C30" s="433"/>
      <c r="D30" s="730"/>
      <c r="E30" s="433">
        <v>4</v>
      </c>
      <c r="F30" s="433" t="s">
        <v>986</v>
      </c>
      <c r="G30" s="434"/>
    </row>
    <row r="31" spans="1:7" x14ac:dyDescent="0.3">
      <c r="A31" s="425" t="s">
        <v>1109</v>
      </c>
      <c r="B31" s="427" t="s">
        <v>981</v>
      </c>
      <c r="C31" s="428">
        <v>8</v>
      </c>
      <c r="D31" s="728" t="s">
        <v>992</v>
      </c>
      <c r="E31" s="428">
        <v>1</v>
      </c>
      <c r="F31" s="428" t="s">
        <v>983</v>
      </c>
      <c r="G31" s="429"/>
    </row>
    <row r="32" spans="1:7" x14ac:dyDescent="0.3">
      <c r="B32" s="430"/>
      <c r="D32" s="729"/>
      <c r="E32" s="426">
        <v>2</v>
      </c>
      <c r="F32" s="426" t="s">
        <v>984</v>
      </c>
      <c r="G32" s="431"/>
    </row>
    <row r="33" spans="1:7" x14ac:dyDescent="0.3">
      <c r="B33" s="430"/>
      <c r="D33" s="729"/>
      <c r="E33" s="426">
        <v>3</v>
      </c>
      <c r="F33" s="426" t="s">
        <v>985</v>
      </c>
      <c r="G33" s="431"/>
    </row>
    <row r="34" spans="1:7" x14ac:dyDescent="0.3">
      <c r="B34" s="432"/>
      <c r="C34" s="433"/>
      <c r="D34" s="730"/>
      <c r="E34" s="433">
        <v>4</v>
      </c>
      <c r="F34" s="433" t="s">
        <v>986</v>
      </c>
      <c r="G34" s="434"/>
    </row>
    <row r="35" spans="1:7" x14ac:dyDescent="0.3">
      <c r="A35" s="425" t="s">
        <v>1110</v>
      </c>
      <c r="B35" s="427" t="s">
        <v>981</v>
      </c>
      <c r="C35" s="428">
        <v>9</v>
      </c>
      <c r="D35" s="728" t="s">
        <v>993</v>
      </c>
      <c r="E35" s="428">
        <v>1</v>
      </c>
      <c r="F35" s="428" t="s">
        <v>983</v>
      </c>
      <c r="G35" s="429"/>
    </row>
    <row r="36" spans="1:7" x14ac:dyDescent="0.3">
      <c r="B36" s="430"/>
      <c r="D36" s="729"/>
      <c r="E36" s="426">
        <v>2</v>
      </c>
      <c r="F36" s="426" t="s">
        <v>984</v>
      </c>
      <c r="G36" s="431"/>
    </row>
    <row r="37" spans="1:7" x14ac:dyDescent="0.3">
      <c r="B37" s="430"/>
      <c r="D37" s="729"/>
      <c r="E37" s="426">
        <v>3</v>
      </c>
      <c r="F37" s="426" t="s">
        <v>985</v>
      </c>
      <c r="G37" s="431"/>
    </row>
    <row r="38" spans="1:7" x14ac:dyDescent="0.3">
      <c r="B38" s="432"/>
      <c r="C38" s="433"/>
      <c r="D38" s="730"/>
      <c r="E38" s="433">
        <v>4</v>
      </c>
      <c r="F38" s="433" t="s">
        <v>986</v>
      </c>
      <c r="G38" s="434"/>
    </row>
    <row r="39" spans="1:7" x14ac:dyDescent="0.3">
      <c r="A39" s="425" t="s">
        <v>1111</v>
      </c>
      <c r="B39" s="427" t="s">
        <v>981</v>
      </c>
      <c r="C39" s="428">
        <v>10</v>
      </c>
      <c r="D39" s="728" t="s">
        <v>994</v>
      </c>
      <c r="E39" s="428">
        <v>1</v>
      </c>
      <c r="F39" s="428" t="s">
        <v>983</v>
      </c>
      <c r="G39" s="429"/>
    </row>
    <row r="40" spans="1:7" x14ac:dyDescent="0.3">
      <c r="B40" s="430"/>
      <c r="D40" s="729"/>
      <c r="E40" s="426">
        <v>2</v>
      </c>
      <c r="F40" s="426" t="s">
        <v>984</v>
      </c>
      <c r="G40" s="431"/>
    </row>
    <row r="41" spans="1:7" x14ac:dyDescent="0.3">
      <c r="B41" s="430"/>
      <c r="D41" s="729"/>
      <c r="E41" s="426">
        <v>3</v>
      </c>
      <c r="F41" s="426" t="s">
        <v>985</v>
      </c>
      <c r="G41" s="431"/>
    </row>
    <row r="42" spans="1:7" x14ac:dyDescent="0.3">
      <c r="B42" s="432"/>
      <c r="C42" s="433"/>
      <c r="D42" s="730"/>
      <c r="E42" s="433">
        <v>4</v>
      </c>
      <c r="F42" s="433" t="s">
        <v>986</v>
      </c>
      <c r="G42" s="434"/>
    </row>
  </sheetData>
  <mergeCells count="13">
    <mergeCell ref="D23:D26"/>
    <mergeCell ref="D27:D30"/>
    <mergeCell ref="D31:D34"/>
    <mergeCell ref="D35:D38"/>
    <mergeCell ref="D39:D42"/>
    <mergeCell ref="D7:D10"/>
    <mergeCell ref="D11:D14"/>
    <mergeCell ref="D15:D18"/>
    <mergeCell ref="D19:D22"/>
    <mergeCell ref="B1:G1"/>
    <mergeCell ref="B2:C2"/>
    <mergeCell ref="E2:F2"/>
    <mergeCell ref="D3:D6"/>
  </mergeCells>
  <pageMargins left="0.7" right="0.7" top="0.75" bottom="0.75" header="0.3" footer="0.3"/>
  <pageSetup orientation="portrait" r:id="rId1"/>
  <headerFooter>
    <oddHeader xml:space="preserve">&amp;C&amp;"-,Bold"The Rosenburg Self-esteem Scale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
  <sheetViews>
    <sheetView view="pageLayout" topLeftCell="B1" zoomScaleNormal="100" workbookViewId="0">
      <selection activeCell="B1" sqref="B1:G1"/>
    </sheetView>
  </sheetViews>
  <sheetFormatPr defaultRowHeight="14.5" x14ac:dyDescent="0.35"/>
  <cols>
    <col min="1" max="1" width="0" style="351" hidden="1" customWidth="1"/>
    <col min="2" max="2" width="3.54296875" customWidth="1"/>
    <col min="3" max="3" width="4.1796875" customWidth="1"/>
    <col min="4" max="4" width="25.81640625" customWidth="1"/>
    <col min="5" max="5" width="30" customWidth="1"/>
  </cols>
  <sheetData>
    <row r="1" spans="1:7" ht="64.5" customHeight="1" x14ac:dyDescent="0.35">
      <c r="B1" s="520" t="s">
        <v>998</v>
      </c>
      <c r="C1" s="521"/>
      <c r="D1" s="521"/>
      <c r="E1" s="521"/>
      <c r="F1" s="521"/>
      <c r="G1" s="522"/>
    </row>
    <row r="2" spans="1:7" x14ac:dyDescent="0.35">
      <c r="B2" s="731" t="s">
        <v>0</v>
      </c>
      <c r="C2" s="732"/>
      <c r="D2" s="389" t="s">
        <v>1</v>
      </c>
      <c r="E2" s="731" t="s">
        <v>2</v>
      </c>
      <c r="F2" s="733"/>
      <c r="G2" s="391" t="s">
        <v>257</v>
      </c>
    </row>
    <row r="3" spans="1:7" ht="15" customHeight="1" x14ac:dyDescent="0.35">
      <c r="A3" s="351" t="s">
        <v>1002</v>
      </c>
      <c r="B3" s="64" t="s">
        <v>996</v>
      </c>
      <c r="C3" s="65">
        <v>1</v>
      </c>
      <c r="D3" s="743" t="s">
        <v>1000</v>
      </c>
      <c r="E3" s="737" t="s">
        <v>999</v>
      </c>
      <c r="F3" s="738"/>
      <c r="G3" s="390"/>
    </row>
    <row r="4" spans="1:7" x14ac:dyDescent="0.35">
      <c r="B4" s="68"/>
      <c r="D4" s="744"/>
      <c r="E4" s="739"/>
      <c r="F4" s="740"/>
      <c r="G4" s="271"/>
    </row>
    <row r="5" spans="1:7" x14ac:dyDescent="0.35">
      <c r="B5" s="68"/>
      <c r="D5" s="744"/>
      <c r="E5" s="739"/>
      <c r="F5" s="740"/>
      <c r="G5" s="271"/>
    </row>
    <row r="6" spans="1:7" x14ac:dyDescent="0.35">
      <c r="B6" s="72"/>
      <c r="C6" s="73"/>
      <c r="D6" s="745"/>
      <c r="E6" s="741"/>
      <c r="F6" s="742"/>
      <c r="G6" s="272"/>
    </row>
    <row r="7" spans="1:7" x14ac:dyDescent="0.35">
      <c r="A7" s="351" t="s">
        <v>1003</v>
      </c>
      <c r="B7" s="64" t="s">
        <v>996</v>
      </c>
      <c r="C7" s="65">
        <v>2</v>
      </c>
      <c r="D7" s="734" t="s">
        <v>1001</v>
      </c>
      <c r="E7" s="737" t="s">
        <v>999</v>
      </c>
      <c r="F7" s="738"/>
      <c r="G7" s="390"/>
    </row>
    <row r="8" spans="1:7" x14ac:dyDescent="0.35">
      <c r="B8" s="68"/>
      <c r="D8" s="735"/>
      <c r="E8" s="739"/>
      <c r="F8" s="740"/>
      <c r="G8" s="271"/>
    </row>
    <row r="9" spans="1:7" x14ac:dyDescent="0.35">
      <c r="B9" s="68"/>
      <c r="D9" s="735"/>
      <c r="E9" s="739"/>
      <c r="F9" s="740"/>
      <c r="G9" s="271"/>
    </row>
    <row r="10" spans="1:7" x14ac:dyDescent="0.35">
      <c r="B10" s="72"/>
      <c r="C10" s="73"/>
      <c r="D10" s="736"/>
      <c r="E10" s="741"/>
      <c r="F10" s="742"/>
      <c r="G10" s="272"/>
    </row>
  </sheetData>
  <mergeCells count="7">
    <mergeCell ref="D7:D10"/>
    <mergeCell ref="E7:F10"/>
    <mergeCell ref="B1:G1"/>
    <mergeCell ref="B2:C2"/>
    <mergeCell ref="E2:F2"/>
    <mergeCell ref="D3:D6"/>
    <mergeCell ref="E3:F6"/>
  </mergeCells>
  <pageMargins left="0.7" right="0.7" top="0.75" bottom="0.75" header="0.3" footer="0.3"/>
  <pageSetup orientation="portrait" r:id="rId1"/>
  <headerFooter>
    <oddHeader xml:space="preserve">&amp;COptimism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H29"/>
  <sheetViews>
    <sheetView view="pageLayout" topLeftCell="B7" zoomScaleNormal="100" workbookViewId="0">
      <selection activeCell="B5" sqref="B5:F5"/>
    </sheetView>
  </sheetViews>
  <sheetFormatPr defaultColWidth="10" defaultRowHeight="14.5" x14ac:dyDescent="0.35"/>
  <cols>
    <col min="1" max="1" width="12.54296875" style="351" hidden="1" customWidth="1"/>
    <col min="2" max="2" width="1.54296875" customWidth="1"/>
    <col min="3" max="3" width="3.7265625" bestFit="1" customWidth="1"/>
    <col min="4" max="4" width="33.453125" customWidth="1"/>
    <col min="5" max="5" width="4.26953125" customWidth="1"/>
    <col min="6" max="6" width="22.1796875" customWidth="1"/>
    <col min="7" max="7" width="3.26953125" customWidth="1"/>
    <col min="8" max="8" width="16.81640625" customWidth="1"/>
  </cols>
  <sheetData>
    <row r="2" spans="1:8" ht="14.25" customHeight="1" x14ac:dyDescent="0.35">
      <c r="B2" s="756" t="s">
        <v>969</v>
      </c>
      <c r="C2" s="756"/>
      <c r="D2" s="757"/>
      <c r="E2" s="757"/>
      <c r="F2" s="757"/>
    </row>
    <row r="3" spans="1:8" ht="15" thickBot="1" x14ac:dyDescent="0.4"/>
    <row r="4" spans="1:8" ht="15" thickBot="1" x14ac:dyDescent="0.4">
      <c r="B4" s="758" t="s">
        <v>0</v>
      </c>
      <c r="C4" s="759"/>
      <c r="D4" s="416" t="s">
        <v>1</v>
      </c>
      <c r="E4" s="417"/>
      <c r="F4" s="418" t="s">
        <v>2</v>
      </c>
      <c r="G4" s="760" t="s">
        <v>395</v>
      </c>
      <c r="H4" s="761"/>
    </row>
    <row r="5" spans="1:8" ht="41.25" customHeight="1" thickBot="1" x14ac:dyDescent="0.4">
      <c r="B5" s="762" t="s">
        <v>621</v>
      </c>
      <c r="C5" s="763"/>
      <c r="D5" s="763"/>
      <c r="E5" s="763"/>
      <c r="F5" s="764"/>
      <c r="H5" s="265"/>
    </row>
    <row r="6" spans="1:8" ht="67.5" customHeight="1" thickBot="1" x14ac:dyDescent="0.4">
      <c r="A6" s="351" t="s">
        <v>937</v>
      </c>
      <c r="B6" s="255" t="s">
        <v>547</v>
      </c>
      <c r="C6" s="81" t="s">
        <v>622</v>
      </c>
      <c r="D6" s="9" t="s">
        <v>623</v>
      </c>
      <c r="E6" s="493" t="s">
        <v>624</v>
      </c>
      <c r="F6" s="453"/>
      <c r="G6" s="452" t="s">
        <v>944</v>
      </c>
      <c r="H6" s="493"/>
    </row>
    <row r="7" spans="1:8" ht="84" customHeight="1" thickBot="1" x14ac:dyDescent="0.4">
      <c r="B7" s="747" t="s">
        <v>625</v>
      </c>
      <c r="C7" s="748"/>
      <c r="D7" s="748"/>
      <c r="E7" s="748"/>
      <c r="F7" s="749"/>
      <c r="G7" s="81"/>
      <c r="H7" s="81"/>
    </row>
    <row r="8" spans="1:8" ht="27" customHeight="1" x14ac:dyDescent="0.35">
      <c r="A8" s="351" t="s">
        <v>936</v>
      </c>
      <c r="B8" s="119" t="s">
        <v>547</v>
      </c>
      <c r="C8" s="81" t="s">
        <v>626</v>
      </c>
      <c r="D8" s="9" t="s">
        <v>627</v>
      </c>
      <c r="E8" s="494" t="s">
        <v>624</v>
      </c>
      <c r="F8" s="456"/>
      <c r="G8" s="266" t="s">
        <v>211</v>
      </c>
      <c r="H8" s="149" t="s">
        <v>628</v>
      </c>
    </row>
    <row r="9" spans="1:8" ht="21.75" customHeight="1" x14ac:dyDescent="0.35">
      <c r="A9" s="353" t="s">
        <v>938</v>
      </c>
      <c r="B9" s="118" t="s">
        <v>547</v>
      </c>
      <c r="C9" s="31">
        <v>3</v>
      </c>
      <c r="D9" s="458" t="s">
        <v>629</v>
      </c>
      <c r="E9" s="750" t="s">
        <v>630</v>
      </c>
      <c r="F9" s="751"/>
      <c r="H9" s="265"/>
    </row>
    <row r="10" spans="1:8" ht="18.75" customHeight="1" x14ac:dyDescent="0.35">
      <c r="A10" s="353" t="s">
        <v>939</v>
      </c>
      <c r="B10" s="269"/>
      <c r="C10" s="270"/>
      <c r="D10" s="454"/>
      <c r="E10" s="752" t="s">
        <v>631</v>
      </c>
      <c r="F10" s="753"/>
      <c r="G10" s="149"/>
      <c r="H10" s="224"/>
    </row>
    <row r="11" spans="1:8" ht="21" customHeight="1" x14ac:dyDescent="0.35">
      <c r="B11" s="13"/>
      <c r="C11" s="271"/>
      <c r="D11" s="454"/>
      <c r="E11" s="752" t="s">
        <v>632</v>
      </c>
      <c r="F11" s="753"/>
      <c r="G11" s="224" t="s">
        <v>633</v>
      </c>
      <c r="H11" s="224"/>
    </row>
    <row r="12" spans="1:8" ht="40.5" customHeight="1" x14ac:dyDescent="0.35">
      <c r="B12" s="15"/>
      <c r="C12" s="272"/>
      <c r="D12" s="461"/>
      <c r="E12" s="754" t="s">
        <v>634</v>
      </c>
      <c r="F12" s="755"/>
      <c r="G12" s="190" t="s">
        <v>211</v>
      </c>
      <c r="H12" s="113">
        <f>C27</f>
        <v>7</v>
      </c>
    </row>
    <row r="13" spans="1:8" x14ac:dyDescent="0.35">
      <c r="A13" s="353" t="s">
        <v>940</v>
      </c>
      <c r="B13" s="118" t="s">
        <v>547</v>
      </c>
      <c r="C13" s="31">
        <v>4</v>
      </c>
      <c r="D13" s="746" t="s">
        <v>635</v>
      </c>
      <c r="E13" s="7">
        <v>1</v>
      </c>
      <c r="F13" s="20" t="s">
        <v>29</v>
      </c>
    </row>
    <row r="14" spans="1:8" x14ac:dyDescent="0.35">
      <c r="B14" s="119"/>
      <c r="C14" s="32"/>
      <c r="D14" s="746"/>
      <c r="E14" s="21">
        <v>2</v>
      </c>
      <c r="F14" s="22" t="s">
        <v>26</v>
      </c>
    </row>
    <row r="15" spans="1:8" x14ac:dyDescent="0.35">
      <c r="B15" s="119"/>
      <c r="C15" s="32"/>
      <c r="D15" s="746"/>
      <c r="E15" s="21">
        <v>-88</v>
      </c>
      <c r="F15" s="22" t="s">
        <v>103</v>
      </c>
    </row>
    <row r="16" spans="1:8" x14ac:dyDescent="0.35">
      <c r="B16" s="268"/>
      <c r="C16" s="241"/>
      <c r="D16" s="746"/>
      <c r="E16" s="10">
        <v>-99</v>
      </c>
      <c r="F16" s="2" t="s">
        <v>104</v>
      </c>
    </row>
    <row r="17" spans="1:6" x14ac:dyDescent="0.35">
      <c r="A17" s="353" t="s">
        <v>941</v>
      </c>
      <c r="B17" s="118" t="s">
        <v>547</v>
      </c>
      <c r="C17" s="31">
        <v>5</v>
      </c>
      <c r="D17" s="746" t="s">
        <v>636</v>
      </c>
      <c r="E17" s="7">
        <v>1</v>
      </c>
      <c r="F17" s="20" t="s">
        <v>637</v>
      </c>
    </row>
    <row r="18" spans="1:6" x14ac:dyDescent="0.35">
      <c r="B18" s="119"/>
      <c r="C18" s="32"/>
      <c r="D18" s="746"/>
      <c r="E18" s="21">
        <f>E17+1</f>
        <v>2</v>
      </c>
      <c r="F18" s="22" t="s">
        <v>638</v>
      </c>
    </row>
    <row r="19" spans="1:6" x14ac:dyDescent="0.35">
      <c r="B19" s="119"/>
      <c r="C19" s="32"/>
      <c r="D19" s="746"/>
      <c r="E19" s="21">
        <f>E18+1</f>
        <v>3</v>
      </c>
      <c r="F19" s="22" t="s">
        <v>639</v>
      </c>
    </row>
    <row r="20" spans="1:6" x14ac:dyDescent="0.35">
      <c r="B20" s="119"/>
      <c r="C20" s="32"/>
      <c r="D20" s="746"/>
      <c r="E20" s="21">
        <f>E19+1</f>
        <v>4</v>
      </c>
      <c r="F20" s="22" t="s">
        <v>640</v>
      </c>
    </row>
    <row r="21" spans="1:6" x14ac:dyDescent="0.35">
      <c r="B21" s="119"/>
      <c r="C21" s="32"/>
      <c r="D21" s="746"/>
      <c r="E21" s="21">
        <f>E20+1</f>
        <v>5</v>
      </c>
      <c r="F21" s="22" t="s">
        <v>641</v>
      </c>
    </row>
    <row r="22" spans="1:6" x14ac:dyDescent="0.35">
      <c r="B22" s="119"/>
      <c r="C22" s="32"/>
      <c r="D22" s="746"/>
      <c r="E22" s="21">
        <v>-88</v>
      </c>
      <c r="F22" s="22" t="s">
        <v>103</v>
      </c>
    </row>
    <row r="23" spans="1:6" x14ac:dyDescent="0.35">
      <c r="B23" s="268"/>
      <c r="C23" s="241"/>
      <c r="D23" s="746"/>
      <c r="E23" s="10">
        <v>-99</v>
      </c>
      <c r="F23" s="2" t="s">
        <v>104</v>
      </c>
    </row>
    <row r="24" spans="1:6" ht="24" customHeight="1" x14ac:dyDescent="0.35">
      <c r="A24" s="353" t="s">
        <v>942</v>
      </c>
      <c r="B24" s="118" t="s">
        <v>547</v>
      </c>
      <c r="C24" s="31">
        <v>6</v>
      </c>
      <c r="D24" s="746" t="s">
        <v>642</v>
      </c>
      <c r="E24" s="540" t="s">
        <v>643</v>
      </c>
      <c r="F24" s="541"/>
    </row>
    <row r="25" spans="1:6" x14ac:dyDescent="0.35">
      <c r="B25" s="119"/>
      <c r="C25" s="32"/>
      <c r="D25" s="746"/>
      <c r="E25" s="21">
        <v>-88</v>
      </c>
      <c r="F25" s="22" t="s">
        <v>103</v>
      </c>
    </row>
    <row r="26" spans="1:6" x14ac:dyDescent="0.35">
      <c r="B26" s="268"/>
      <c r="C26" s="241"/>
      <c r="D26" s="746"/>
      <c r="E26" s="10">
        <v>-99</v>
      </c>
      <c r="F26" s="2" t="s">
        <v>104</v>
      </c>
    </row>
    <row r="27" spans="1:6" x14ac:dyDescent="0.35">
      <c r="A27" s="353" t="s">
        <v>943</v>
      </c>
      <c r="B27" s="118" t="s">
        <v>547</v>
      </c>
      <c r="C27" s="31">
        <v>7</v>
      </c>
      <c r="D27" s="746" t="s">
        <v>644</v>
      </c>
      <c r="E27" s="540" t="s">
        <v>645</v>
      </c>
      <c r="F27" s="541"/>
    </row>
    <row r="28" spans="1:6" x14ac:dyDescent="0.35">
      <c r="B28" s="119"/>
      <c r="C28" s="32"/>
      <c r="D28" s="746"/>
      <c r="E28" s="21">
        <v>-88</v>
      </c>
      <c r="F28" s="22" t="s">
        <v>103</v>
      </c>
    </row>
    <row r="29" spans="1:6" x14ac:dyDescent="0.35">
      <c r="B29" s="268"/>
      <c r="C29" s="241"/>
      <c r="D29" s="746"/>
      <c r="E29" s="10">
        <v>-99</v>
      </c>
      <c r="F29" s="2" t="s">
        <v>104</v>
      </c>
    </row>
  </sheetData>
  <mergeCells count="19">
    <mergeCell ref="B2:F2"/>
    <mergeCell ref="B4:C4"/>
    <mergeCell ref="G4:H4"/>
    <mergeCell ref="B5:F5"/>
    <mergeCell ref="E6:F6"/>
    <mergeCell ref="G6:H6"/>
    <mergeCell ref="B7:F7"/>
    <mergeCell ref="E8:F8"/>
    <mergeCell ref="D9:D12"/>
    <mergeCell ref="E9:F9"/>
    <mergeCell ref="E10:F10"/>
    <mergeCell ref="E11:F11"/>
    <mergeCell ref="E12:F12"/>
    <mergeCell ref="D13:D16"/>
    <mergeCell ref="D17:D23"/>
    <mergeCell ref="D24:D26"/>
    <mergeCell ref="E24:F24"/>
    <mergeCell ref="D27:D29"/>
    <mergeCell ref="E27:F2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3"/>
  <sheetViews>
    <sheetView view="pageLayout" topLeftCell="B1" zoomScaleNormal="100" workbookViewId="0">
      <selection activeCell="D10" sqref="D10"/>
    </sheetView>
  </sheetViews>
  <sheetFormatPr defaultColWidth="9.1796875" defaultRowHeight="14.5" x14ac:dyDescent="0.35"/>
  <cols>
    <col min="1" max="1" width="0" style="360" hidden="1" customWidth="1"/>
    <col min="2" max="2" width="3.7265625" style="1" customWidth="1"/>
    <col min="3" max="3" width="3.54296875" style="1" customWidth="1"/>
    <col min="4" max="4" width="44.81640625" style="1" customWidth="1"/>
    <col min="5" max="5" width="5" style="1" customWidth="1"/>
    <col min="6" max="6" width="18.7265625" style="1" customWidth="1"/>
    <col min="7" max="7" width="3.26953125" style="1" customWidth="1"/>
    <col min="8" max="8" width="9.1796875" style="1"/>
    <col min="9" max="9" width="0" style="1" hidden="1" customWidth="1"/>
    <col min="10" max="16384" width="9.1796875" style="1"/>
  </cols>
  <sheetData>
    <row r="1" spans="1:9" ht="15" x14ac:dyDescent="0.35">
      <c r="C1" s="674" t="s">
        <v>596</v>
      </c>
      <c r="D1" s="765"/>
      <c r="E1" s="765"/>
      <c r="F1" s="765"/>
      <c r="G1" s="765"/>
      <c r="H1" s="765"/>
    </row>
    <row r="2" spans="1:9" ht="33.75" customHeight="1" x14ac:dyDescent="0.35">
      <c r="B2" s="520" t="s">
        <v>597</v>
      </c>
      <c r="C2" s="521"/>
      <c r="D2" s="521"/>
      <c r="E2" s="521"/>
      <c r="F2" s="521"/>
      <c r="G2" s="521"/>
      <c r="H2" s="522"/>
    </row>
    <row r="3" spans="1:9" ht="20.25" customHeight="1" x14ac:dyDescent="0.35">
      <c r="B3" s="307"/>
      <c r="C3" s="307"/>
      <c r="D3" s="307"/>
      <c r="E3" s="307"/>
      <c r="F3" s="307"/>
      <c r="G3" s="307"/>
      <c r="H3" s="308"/>
    </row>
    <row r="4" spans="1:9" ht="30.75" customHeight="1" x14ac:dyDescent="0.35">
      <c r="A4" s="360" t="s">
        <v>722</v>
      </c>
      <c r="B4" s="713" t="s">
        <v>0</v>
      </c>
      <c r="C4" s="714"/>
      <c r="D4" s="299" t="s">
        <v>1</v>
      </c>
      <c r="E4" s="306"/>
      <c r="F4" s="305" t="s">
        <v>2</v>
      </c>
      <c r="G4" s="715" t="s">
        <v>395</v>
      </c>
      <c r="H4" s="716"/>
    </row>
    <row r="5" spans="1:9" x14ac:dyDescent="0.25">
      <c r="A5" s="352" t="s">
        <v>601</v>
      </c>
      <c r="B5" s="254" t="s">
        <v>598</v>
      </c>
      <c r="C5" s="17" t="s">
        <v>599</v>
      </c>
      <c r="D5" s="458" t="s">
        <v>600</v>
      </c>
      <c r="E5" s="7">
        <v>1</v>
      </c>
      <c r="F5" s="20" t="s">
        <v>29</v>
      </c>
      <c r="G5" s="284"/>
      <c r="H5" s="103"/>
      <c r="I5" s="187" t="s">
        <v>601</v>
      </c>
    </row>
    <row r="6" spans="1:9" x14ac:dyDescent="0.35">
      <c r="B6" s="255"/>
      <c r="C6" s="32"/>
      <c r="D6" s="454"/>
      <c r="E6" s="21">
        <v>2</v>
      </c>
      <c r="F6" s="22" t="s">
        <v>26</v>
      </c>
      <c r="G6" s="115" t="s">
        <v>315</v>
      </c>
      <c r="H6" s="89" t="str">
        <f>C14</f>
        <v>2.a.</v>
      </c>
      <c r="I6" s="187"/>
    </row>
    <row r="7" spans="1:9" x14ac:dyDescent="0.35">
      <c r="B7" s="255"/>
      <c r="C7" s="32"/>
      <c r="D7" s="454"/>
      <c r="E7" s="21">
        <v>-88</v>
      </c>
      <c r="F7" s="22" t="s">
        <v>103</v>
      </c>
      <c r="G7" s="115" t="s">
        <v>315</v>
      </c>
      <c r="H7" s="89" t="str">
        <f>C14</f>
        <v>2.a.</v>
      </c>
      <c r="I7" s="187"/>
    </row>
    <row r="8" spans="1:9" x14ac:dyDescent="0.35">
      <c r="B8" s="256"/>
      <c r="C8" s="241"/>
      <c r="D8" s="12"/>
      <c r="E8" s="10">
        <v>-99</v>
      </c>
      <c r="F8" s="2" t="s">
        <v>104</v>
      </c>
      <c r="G8" s="112" t="s">
        <v>315</v>
      </c>
      <c r="H8" s="19" t="str">
        <f>C14</f>
        <v>2.a.</v>
      </c>
      <c r="I8" s="187"/>
    </row>
    <row r="9" spans="1:9" ht="21" x14ac:dyDescent="0.25">
      <c r="A9" s="352" t="s">
        <v>605</v>
      </c>
      <c r="B9" s="254" t="s">
        <v>598</v>
      </c>
      <c r="C9" s="17" t="s">
        <v>602</v>
      </c>
      <c r="D9" s="6" t="s">
        <v>603</v>
      </c>
      <c r="E9" s="7">
        <v>1</v>
      </c>
      <c r="F9" s="20" t="s">
        <v>604</v>
      </c>
      <c r="G9" s="284"/>
      <c r="H9" s="103"/>
      <c r="I9" s="187" t="s">
        <v>605</v>
      </c>
    </row>
    <row r="10" spans="1:9" ht="19.5" customHeight="1" x14ac:dyDescent="0.35">
      <c r="B10" s="239"/>
      <c r="C10" s="97"/>
      <c r="D10" s="9"/>
      <c r="E10" s="21">
        <f>E9+1</f>
        <v>2</v>
      </c>
      <c r="F10" s="22" t="s">
        <v>606</v>
      </c>
      <c r="G10" s="115"/>
      <c r="H10" s="94"/>
      <c r="I10" s="187"/>
    </row>
    <row r="11" spans="1:9" ht="26" x14ac:dyDescent="0.35">
      <c r="B11" s="239"/>
      <c r="C11" s="97"/>
      <c r="D11" s="58"/>
      <c r="E11" s="21">
        <f>E10+1</f>
        <v>3</v>
      </c>
      <c r="F11" s="22" t="s">
        <v>607</v>
      </c>
      <c r="G11" s="115"/>
      <c r="H11" s="94"/>
      <c r="I11" s="187"/>
    </row>
    <row r="12" spans="1:9" x14ac:dyDescent="0.35">
      <c r="B12" s="239"/>
      <c r="C12" s="97"/>
      <c r="D12" s="58"/>
      <c r="E12" s="21">
        <v>-88</v>
      </c>
      <c r="F12" s="22" t="s">
        <v>103</v>
      </c>
      <c r="G12" s="115"/>
      <c r="H12" s="89"/>
      <c r="I12" s="187"/>
    </row>
    <row r="13" spans="1:9" x14ac:dyDescent="0.35">
      <c r="B13" s="104"/>
      <c r="C13" s="120"/>
      <c r="D13" s="237"/>
      <c r="E13" s="10">
        <v>-99</v>
      </c>
      <c r="F13" s="2" t="s">
        <v>104</v>
      </c>
      <c r="G13" s="112"/>
      <c r="H13" s="19"/>
      <c r="I13" s="187"/>
    </row>
    <row r="14" spans="1:9" ht="21" x14ac:dyDescent="0.25">
      <c r="A14" s="352" t="s">
        <v>609</v>
      </c>
      <c r="B14" s="254" t="s">
        <v>598</v>
      </c>
      <c r="C14" s="17" t="s">
        <v>61</v>
      </c>
      <c r="D14" s="458" t="s">
        <v>608</v>
      </c>
      <c r="E14" s="7">
        <v>1</v>
      </c>
      <c r="F14" s="20" t="s">
        <v>29</v>
      </c>
      <c r="G14" s="284"/>
      <c r="H14" s="103"/>
      <c r="I14" s="187" t="s">
        <v>609</v>
      </c>
    </row>
    <row r="15" spans="1:9" x14ac:dyDescent="0.35">
      <c r="B15" s="255"/>
      <c r="C15" s="32"/>
      <c r="D15" s="454"/>
      <c r="E15" s="21">
        <v>2</v>
      </c>
      <c r="F15" s="22" t="s">
        <v>26</v>
      </c>
      <c r="G15" s="115" t="s">
        <v>315</v>
      </c>
      <c r="H15" s="89" t="str">
        <f>C23</f>
        <v>3.a.</v>
      </c>
      <c r="I15" s="187"/>
    </row>
    <row r="16" spans="1:9" x14ac:dyDescent="0.35">
      <c r="B16" s="255"/>
      <c r="C16" s="32"/>
      <c r="D16" s="454"/>
      <c r="E16" s="21">
        <v>-88</v>
      </c>
      <c r="F16" s="22" t="s">
        <v>103</v>
      </c>
      <c r="G16" s="115" t="s">
        <v>315</v>
      </c>
      <c r="H16" s="89" t="str">
        <f>C23</f>
        <v>3.a.</v>
      </c>
      <c r="I16" s="187"/>
    </row>
    <row r="17" spans="1:9" x14ac:dyDescent="0.35">
      <c r="B17" s="256"/>
      <c r="C17" s="241"/>
      <c r="D17" s="461"/>
      <c r="E17" s="10">
        <v>-99</v>
      </c>
      <c r="F17" s="2" t="s">
        <v>104</v>
      </c>
      <c r="G17" s="112" t="s">
        <v>315</v>
      </c>
      <c r="H17" s="19" t="str">
        <f>C23</f>
        <v>3.a.</v>
      </c>
      <c r="I17" s="187"/>
    </row>
    <row r="18" spans="1:9" ht="17.25" customHeight="1" x14ac:dyDescent="0.25">
      <c r="A18" s="352" t="s">
        <v>610</v>
      </c>
      <c r="B18" s="254" t="s">
        <v>598</v>
      </c>
      <c r="C18" s="17" t="s">
        <v>64</v>
      </c>
      <c r="D18" s="6" t="s">
        <v>603</v>
      </c>
      <c r="E18" s="7">
        <v>1</v>
      </c>
      <c r="F18" s="20" t="s">
        <v>604</v>
      </c>
      <c r="G18" s="284"/>
      <c r="H18" s="103"/>
      <c r="I18" s="187" t="s">
        <v>610</v>
      </c>
    </row>
    <row r="19" spans="1:9" ht="16.5" customHeight="1" x14ac:dyDescent="0.35">
      <c r="B19" s="239"/>
      <c r="C19" s="97"/>
      <c r="D19" s="9"/>
      <c r="E19" s="21">
        <f>E18+1</f>
        <v>2</v>
      </c>
      <c r="F19" s="22" t="s">
        <v>606</v>
      </c>
      <c r="G19" s="115"/>
      <c r="H19" s="94"/>
      <c r="I19" s="187"/>
    </row>
    <row r="20" spans="1:9" ht="26" x14ac:dyDescent="0.35">
      <c r="B20" s="239"/>
      <c r="C20" s="97"/>
      <c r="D20" s="58"/>
      <c r="E20" s="21">
        <f>E19+1</f>
        <v>3</v>
      </c>
      <c r="F20" s="22" t="s">
        <v>607</v>
      </c>
      <c r="G20" s="115"/>
      <c r="H20" s="94"/>
      <c r="I20" s="187"/>
    </row>
    <row r="21" spans="1:9" x14ac:dyDescent="0.35">
      <c r="B21" s="239"/>
      <c r="C21" s="97"/>
      <c r="D21" s="58"/>
      <c r="E21" s="21">
        <v>-88</v>
      </c>
      <c r="F21" s="22" t="s">
        <v>103</v>
      </c>
      <c r="G21" s="115"/>
      <c r="H21" s="94"/>
      <c r="I21" s="187"/>
    </row>
    <row r="22" spans="1:9" x14ac:dyDescent="0.35">
      <c r="B22" s="104"/>
      <c r="C22" s="120"/>
      <c r="D22" s="237"/>
      <c r="E22" s="10">
        <v>-99</v>
      </c>
      <c r="F22" s="2" t="s">
        <v>104</v>
      </c>
      <c r="G22" s="112"/>
      <c r="H22" s="92"/>
      <c r="I22" s="187"/>
    </row>
    <row r="23" spans="1:9" x14ac:dyDescent="0.25">
      <c r="A23" s="352" t="s">
        <v>612</v>
      </c>
      <c r="B23" s="254" t="s">
        <v>598</v>
      </c>
      <c r="C23" s="17" t="s">
        <v>70</v>
      </c>
      <c r="D23" s="458" t="s">
        <v>611</v>
      </c>
      <c r="E23" s="7">
        <v>1</v>
      </c>
      <c r="F23" s="20" t="s">
        <v>29</v>
      </c>
      <c r="G23" s="284"/>
      <c r="H23" s="103"/>
      <c r="I23" s="187" t="s">
        <v>612</v>
      </c>
    </row>
    <row r="24" spans="1:9" x14ac:dyDescent="0.35">
      <c r="B24" s="255"/>
      <c r="C24" s="32"/>
      <c r="D24" s="454"/>
      <c r="E24" s="21">
        <v>2</v>
      </c>
      <c r="F24" s="22" t="s">
        <v>26</v>
      </c>
      <c r="G24" s="115" t="s">
        <v>315</v>
      </c>
      <c r="H24" s="89" t="s">
        <v>613</v>
      </c>
      <c r="I24" s="187"/>
    </row>
    <row r="25" spans="1:9" x14ac:dyDescent="0.35">
      <c r="B25" s="255"/>
      <c r="C25" s="32"/>
      <c r="D25" s="454"/>
      <c r="E25" s="21">
        <v>-88</v>
      </c>
      <c r="F25" s="22" t="s">
        <v>103</v>
      </c>
      <c r="G25" s="115" t="s">
        <v>315</v>
      </c>
      <c r="H25" s="89" t="s">
        <v>613</v>
      </c>
      <c r="I25" s="187"/>
    </row>
    <row r="26" spans="1:9" x14ac:dyDescent="0.35">
      <c r="B26" s="256"/>
      <c r="C26" s="241"/>
      <c r="D26" s="12"/>
      <c r="E26" s="10">
        <v>-99</v>
      </c>
      <c r="F26" s="2" t="s">
        <v>104</v>
      </c>
      <c r="G26" s="112" t="s">
        <v>315</v>
      </c>
      <c r="H26" s="19" t="s">
        <v>613</v>
      </c>
      <c r="I26" s="187"/>
    </row>
    <row r="27" spans="1:9" ht="21" x14ac:dyDescent="0.25">
      <c r="A27" s="352" t="s">
        <v>614</v>
      </c>
      <c r="B27" s="254" t="s">
        <v>598</v>
      </c>
      <c r="C27" s="17" t="s">
        <v>80</v>
      </c>
      <c r="D27" s="6" t="s">
        <v>603</v>
      </c>
      <c r="E27" s="7">
        <v>1</v>
      </c>
      <c r="F27" s="20" t="s">
        <v>604</v>
      </c>
      <c r="G27" s="284"/>
      <c r="H27" s="103"/>
      <c r="I27" s="187" t="s">
        <v>614</v>
      </c>
    </row>
    <row r="28" spans="1:9" x14ac:dyDescent="0.35">
      <c r="B28" s="121"/>
      <c r="C28" s="94"/>
      <c r="D28" s="9"/>
      <c r="E28" s="21">
        <f>E27+1</f>
        <v>2</v>
      </c>
      <c r="F28" s="22" t="s">
        <v>606</v>
      </c>
      <c r="G28" s="115"/>
      <c r="H28" s="94"/>
      <c r="I28" s="187"/>
    </row>
    <row r="29" spans="1:9" ht="26" x14ac:dyDescent="0.35">
      <c r="B29" s="121"/>
      <c r="C29" s="94"/>
      <c r="D29" s="58"/>
      <c r="E29" s="21">
        <f>E28+1</f>
        <v>3</v>
      </c>
      <c r="F29" s="22" t="s">
        <v>607</v>
      </c>
      <c r="G29" s="115"/>
      <c r="H29" s="94"/>
      <c r="I29" s="187"/>
    </row>
    <row r="30" spans="1:9" x14ac:dyDescent="0.35">
      <c r="B30" s="121"/>
      <c r="C30" s="94"/>
      <c r="D30" s="58"/>
      <c r="E30" s="21">
        <v>-88</v>
      </c>
      <c r="F30" s="22" t="s">
        <v>103</v>
      </c>
      <c r="G30" s="115"/>
      <c r="H30" s="94"/>
      <c r="I30" s="187"/>
    </row>
    <row r="31" spans="1:9" x14ac:dyDescent="0.35">
      <c r="B31" s="16"/>
      <c r="C31" s="92"/>
      <c r="D31" s="237"/>
      <c r="E31" s="10">
        <v>-99</v>
      </c>
      <c r="F31" s="2" t="s">
        <v>104</v>
      </c>
      <c r="G31" s="112"/>
      <c r="H31" s="92"/>
      <c r="I31" s="187"/>
    </row>
    <row r="32" spans="1:9" ht="39" x14ac:dyDescent="0.25">
      <c r="A32" s="352" t="s">
        <v>617</v>
      </c>
      <c r="B32" s="257" t="s">
        <v>598</v>
      </c>
      <c r="C32" s="14" t="s">
        <v>613</v>
      </c>
      <c r="D32" s="4" t="s">
        <v>615</v>
      </c>
      <c r="E32" s="664" t="s">
        <v>616</v>
      </c>
      <c r="F32" s="665"/>
      <c r="G32" s="287"/>
      <c r="H32" s="288"/>
      <c r="I32" s="187" t="s">
        <v>617</v>
      </c>
    </row>
    <row r="33" spans="1:9" ht="28.5" customHeight="1" x14ac:dyDescent="0.25">
      <c r="A33" s="352" t="s">
        <v>620</v>
      </c>
      <c r="B33" s="257" t="s">
        <v>598</v>
      </c>
      <c r="C33" s="14" t="s">
        <v>618</v>
      </c>
      <c r="D33" s="4" t="s">
        <v>619</v>
      </c>
      <c r="E33" s="664" t="s">
        <v>616</v>
      </c>
      <c r="F33" s="665"/>
      <c r="G33" s="285"/>
      <c r="H33" s="286"/>
      <c r="I33" s="187" t="s">
        <v>620</v>
      </c>
    </row>
  </sheetData>
  <mergeCells count="9">
    <mergeCell ref="E33:F33"/>
    <mergeCell ref="B4:C4"/>
    <mergeCell ref="G4:H4"/>
    <mergeCell ref="B2:H2"/>
    <mergeCell ref="C1:H1"/>
    <mergeCell ref="D5:D7"/>
    <mergeCell ref="D14:D17"/>
    <mergeCell ref="D23:D25"/>
    <mergeCell ref="E32:F3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60"/>
  <sheetViews>
    <sheetView view="pageLayout" topLeftCell="B1" zoomScaleNormal="100" workbookViewId="0">
      <selection activeCell="F16" sqref="F16"/>
    </sheetView>
  </sheetViews>
  <sheetFormatPr defaultRowHeight="14.5" x14ac:dyDescent="0.35"/>
  <cols>
    <col min="1" max="1" width="9.1796875" style="351" hidden="1" customWidth="1"/>
    <col min="2" max="2" width="2.453125" style="1" customWidth="1"/>
    <col min="3" max="3" width="3.1796875" style="1" customWidth="1"/>
    <col min="4" max="4" width="70.1796875" style="316" customWidth="1"/>
  </cols>
  <sheetData>
    <row r="1" spans="1:4" ht="61.5" customHeight="1" x14ac:dyDescent="0.35">
      <c r="B1" s="520" t="s">
        <v>1101</v>
      </c>
      <c r="C1" s="521"/>
      <c r="D1" s="521"/>
    </row>
    <row r="2" spans="1:4" x14ac:dyDescent="0.35">
      <c r="B2" s="731" t="s">
        <v>0</v>
      </c>
      <c r="C2" s="732"/>
      <c r="D2" s="435" t="s">
        <v>1</v>
      </c>
    </row>
    <row r="3" spans="1:4" x14ac:dyDescent="0.35">
      <c r="A3" s="351" t="s">
        <v>1061</v>
      </c>
      <c r="B3" s="392" t="s">
        <v>997</v>
      </c>
      <c r="C3" s="396">
        <v>1</v>
      </c>
      <c r="D3" s="436" t="s">
        <v>1005</v>
      </c>
    </row>
    <row r="4" spans="1:4" ht="28" x14ac:dyDescent="0.35">
      <c r="B4" s="393"/>
      <c r="C4" s="397"/>
      <c r="D4" s="437" t="s">
        <v>1008</v>
      </c>
    </row>
    <row r="5" spans="1:4" x14ac:dyDescent="0.35">
      <c r="A5" s="351" t="s">
        <v>1062</v>
      </c>
      <c r="B5" s="392" t="s">
        <v>997</v>
      </c>
      <c r="C5" s="396">
        <v>2</v>
      </c>
      <c r="D5" s="394" t="s">
        <v>1007</v>
      </c>
    </row>
    <row r="6" spans="1:4" x14ac:dyDescent="0.35">
      <c r="B6" s="393"/>
      <c r="C6" s="397"/>
      <c r="D6" s="395" t="s">
        <v>1006</v>
      </c>
    </row>
    <row r="7" spans="1:4" ht="28" x14ac:dyDescent="0.35">
      <c r="A7" s="351" t="s">
        <v>1063</v>
      </c>
      <c r="B7" s="392" t="s">
        <v>997</v>
      </c>
      <c r="C7" s="396">
        <v>3</v>
      </c>
      <c r="D7" s="394" t="s">
        <v>1009</v>
      </c>
    </row>
    <row r="8" spans="1:4" x14ac:dyDescent="0.35">
      <c r="B8" s="393"/>
      <c r="C8" s="397"/>
      <c r="D8" s="395" t="s">
        <v>1010</v>
      </c>
    </row>
    <row r="9" spans="1:4" x14ac:dyDescent="0.35">
      <c r="A9" s="351" t="s">
        <v>1064</v>
      </c>
      <c r="B9" s="392" t="s">
        <v>997</v>
      </c>
      <c r="C9" s="396">
        <v>4</v>
      </c>
      <c r="D9" s="394" t="s">
        <v>1011</v>
      </c>
    </row>
    <row r="10" spans="1:4" ht="28" x14ac:dyDescent="0.35">
      <c r="B10" s="393"/>
      <c r="C10" s="397"/>
      <c r="D10" s="395" t="s">
        <v>1012</v>
      </c>
    </row>
    <row r="11" spans="1:4" x14ac:dyDescent="0.35">
      <c r="A11" s="351" t="s">
        <v>1065</v>
      </c>
      <c r="B11" s="392" t="s">
        <v>997</v>
      </c>
      <c r="C11" s="396">
        <v>5</v>
      </c>
      <c r="D11" s="394" t="s">
        <v>1013</v>
      </c>
    </row>
    <row r="12" spans="1:4" ht="28" x14ac:dyDescent="0.35">
      <c r="B12" s="393"/>
      <c r="C12" s="397"/>
      <c r="D12" s="395" t="s">
        <v>1014</v>
      </c>
    </row>
    <row r="13" spans="1:4" x14ac:dyDescent="0.35">
      <c r="A13" s="351" t="s">
        <v>1066</v>
      </c>
      <c r="B13" s="392" t="s">
        <v>997</v>
      </c>
      <c r="C13" s="396">
        <v>6</v>
      </c>
      <c r="D13" s="394" t="s">
        <v>1015</v>
      </c>
    </row>
    <row r="14" spans="1:4" ht="28" x14ac:dyDescent="0.35">
      <c r="B14" s="393"/>
      <c r="C14" s="397"/>
      <c r="D14" s="395" t="s">
        <v>1016</v>
      </c>
    </row>
    <row r="15" spans="1:4" x14ac:dyDescent="0.35">
      <c r="A15" s="351" t="s">
        <v>1067</v>
      </c>
      <c r="B15" s="392" t="s">
        <v>997</v>
      </c>
      <c r="C15" s="396">
        <v>7</v>
      </c>
      <c r="D15" s="394" t="s">
        <v>1017</v>
      </c>
    </row>
    <row r="16" spans="1:4" ht="28" x14ac:dyDescent="0.35">
      <c r="B16" s="393"/>
      <c r="C16" s="397"/>
      <c r="D16" s="395" t="s">
        <v>1018</v>
      </c>
    </row>
    <row r="17" spans="1:4" x14ac:dyDescent="0.35">
      <c r="A17" s="351" t="s">
        <v>1068</v>
      </c>
      <c r="B17" s="392" t="s">
        <v>997</v>
      </c>
      <c r="C17" s="396">
        <v>8</v>
      </c>
      <c r="D17" s="394" t="s">
        <v>1019</v>
      </c>
    </row>
    <row r="18" spans="1:4" x14ac:dyDescent="0.35">
      <c r="B18" s="393"/>
      <c r="C18" s="397"/>
      <c r="D18" s="395" t="s">
        <v>1020</v>
      </c>
    </row>
    <row r="19" spans="1:4" x14ac:dyDescent="0.35">
      <c r="A19" s="351" t="s">
        <v>1069</v>
      </c>
      <c r="B19" s="392" t="s">
        <v>997</v>
      </c>
      <c r="C19" s="396">
        <v>9</v>
      </c>
      <c r="D19" s="394" t="s">
        <v>1021</v>
      </c>
    </row>
    <row r="20" spans="1:4" ht="28" x14ac:dyDescent="0.35">
      <c r="B20" s="393"/>
      <c r="C20" s="397"/>
      <c r="D20" s="395" t="s">
        <v>1022</v>
      </c>
    </row>
    <row r="21" spans="1:4" ht="28" x14ac:dyDescent="0.35">
      <c r="A21" s="351" t="s">
        <v>1070</v>
      </c>
      <c r="B21" s="392" t="s">
        <v>997</v>
      </c>
      <c r="C21" s="396">
        <v>10</v>
      </c>
      <c r="D21" s="394" t="s">
        <v>1023</v>
      </c>
    </row>
    <row r="22" spans="1:4" ht="28" x14ac:dyDescent="0.35">
      <c r="B22" s="393"/>
      <c r="C22" s="397"/>
      <c r="D22" s="395" t="s">
        <v>1024</v>
      </c>
    </row>
    <row r="23" spans="1:4" ht="28" x14ac:dyDescent="0.35">
      <c r="A23" s="351" t="s">
        <v>1071</v>
      </c>
      <c r="B23" s="392" t="s">
        <v>997</v>
      </c>
      <c r="C23" s="396">
        <v>11</v>
      </c>
      <c r="D23" s="394" t="s">
        <v>1025</v>
      </c>
    </row>
    <row r="24" spans="1:4" x14ac:dyDescent="0.35">
      <c r="B24" s="393"/>
      <c r="C24" s="397"/>
      <c r="D24" s="395" t="s">
        <v>1026</v>
      </c>
    </row>
    <row r="25" spans="1:4" x14ac:dyDescent="0.35">
      <c r="A25" s="351" t="s">
        <v>1072</v>
      </c>
      <c r="B25" s="392" t="s">
        <v>997</v>
      </c>
      <c r="C25" s="396">
        <v>12</v>
      </c>
      <c r="D25" s="394" t="s">
        <v>1027</v>
      </c>
    </row>
    <row r="26" spans="1:4" ht="28" x14ac:dyDescent="0.35">
      <c r="B26" s="393"/>
      <c r="C26" s="397"/>
      <c r="D26" s="395" t="s">
        <v>1028</v>
      </c>
    </row>
    <row r="27" spans="1:4" x14ac:dyDescent="0.35">
      <c r="A27" s="351" t="s">
        <v>1073</v>
      </c>
      <c r="B27" s="392" t="s">
        <v>997</v>
      </c>
      <c r="C27" s="396">
        <v>13</v>
      </c>
      <c r="D27" s="394" t="s">
        <v>1029</v>
      </c>
    </row>
    <row r="28" spans="1:4" ht="28" x14ac:dyDescent="0.35">
      <c r="B28" s="393"/>
      <c r="C28" s="397"/>
      <c r="D28" s="395" t="s">
        <v>1030</v>
      </c>
    </row>
    <row r="29" spans="1:4" x14ac:dyDescent="0.35">
      <c r="A29" s="351" t="s">
        <v>1074</v>
      </c>
      <c r="B29" s="392" t="s">
        <v>997</v>
      </c>
      <c r="C29" s="396">
        <v>14</v>
      </c>
      <c r="D29" s="394" t="s">
        <v>1031</v>
      </c>
    </row>
    <row r="30" spans="1:4" x14ac:dyDescent="0.35">
      <c r="B30" s="393"/>
      <c r="C30" s="397"/>
      <c r="D30" s="395" t="s">
        <v>1097</v>
      </c>
    </row>
    <row r="31" spans="1:4" x14ac:dyDescent="0.35">
      <c r="A31" s="351" t="s">
        <v>1075</v>
      </c>
      <c r="B31" s="392" t="s">
        <v>997</v>
      </c>
      <c r="C31" s="396">
        <v>15</v>
      </c>
      <c r="D31" s="394" t="s">
        <v>1032</v>
      </c>
    </row>
    <row r="32" spans="1:4" x14ac:dyDescent="0.35">
      <c r="B32" s="393"/>
      <c r="C32" s="397"/>
      <c r="D32" s="395" t="s">
        <v>1033</v>
      </c>
    </row>
    <row r="33" spans="1:4" ht="28" x14ac:dyDescent="0.35">
      <c r="A33" s="351" t="s">
        <v>1076</v>
      </c>
      <c r="B33" s="392" t="s">
        <v>997</v>
      </c>
      <c r="C33" s="396">
        <v>16</v>
      </c>
      <c r="D33" s="394" t="s">
        <v>1034</v>
      </c>
    </row>
    <row r="34" spans="1:4" ht="28" x14ac:dyDescent="0.35">
      <c r="B34" s="393"/>
      <c r="C34" s="397"/>
      <c r="D34" s="395" t="s">
        <v>1035</v>
      </c>
    </row>
    <row r="35" spans="1:4" ht="28" x14ac:dyDescent="0.35">
      <c r="A35" s="351" t="s">
        <v>1077</v>
      </c>
      <c r="B35" s="392" t="s">
        <v>997</v>
      </c>
      <c r="C35" s="396">
        <v>17</v>
      </c>
      <c r="D35" s="394" t="s">
        <v>1036</v>
      </c>
    </row>
    <row r="36" spans="1:4" ht="28" x14ac:dyDescent="0.35">
      <c r="B36" s="393"/>
      <c r="C36" s="397"/>
      <c r="D36" s="395" t="s">
        <v>1037</v>
      </c>
    </row>
    <row r="37" spans="1:4" ht="28" x14ac:dyDescent="0.35">
      <c r="A37" s="351" t="s">
        <v>1078</v>
      </c>
      <c r="B37" s="392" t="s">
        <v>997</v>
      </c>
      <c r="C37" s="396">
        <v>18</v>
      </c>
      <c r="D37" s="394" t="s">
        <v>1038</v>
      </c>
    </row>
    <row r="38" spans="1:4" x14ac:dyDescent="0.35">
      <c r="B38" s="393"/>
      <c r="C38" s="397"/>
      <c r="D38" s="395" t="s">
        <v>1039</v>
      </c>
    </row>
    <row r="39" spans="1:4" x14ac:dyDescent="0.35">
      <c r="A39" s="351" t="s">
        <v>1079</v>
      </c>
      <c r="B39" s="392" t="s">
        <v>997</v>
      </c>
      <c r="C39" s="396">
        <v>19</v>
      </c>
      <c r="D39" s="394" t="s">
        <v>1040</v>
      </c>
    </row>
    <row r="40" spans="1:4" x14ac:dyDescent="0.35">
      <c r="B40" s="393"/>
      <c r="C40" s="397"/>
      <c r="D40" s="395" t="s">
        <v>1041</v>
      </c>
    </row>
    <row r="41" spans="1:4" x14ac:dyDescent="0.35">
      <c r="A41" s="351" t="s">
        <v>1080</v>
      </c>
      <c r="B41" s="392" t="s">
        <v>997</v>
      </c>
      <c r="C41" s="396">
        <v>20</v>
      </c>
      <c r="D41" s="394" t="s">
        <v>1042</v>
      </c>
    </row>
    <row r="42" spans="1:4" x14ac:dyDescent="0.35">
      <c r="B42" s="393"/>
      <c r="C42" s="397"/>
      <c r="D42" s="395" t="s">
        <v>1043</v>
      </c>
    </row>
    <row r="43" spans="1:4" x14ac:dyDescent="0.35">
      <c r="A43" s="351" t="s">
        <v>1081</v>
      </c>
      <c r="B43" s="392" t="s">
        <v>997</v>
      </c>
      <c r="C43" s="396">
        <v>21</v>
      </c>
      <c r="D43" s="394" t="s">
        <v>1044</v>
      </c>
    </row>
    <row r="44" spans="1:4" x14ac:dyDescent="0.35">
      <c r="B44" s="393"/>
      <c r="C44" s="397"/>
      <c r="D44" s="395" t="s">
        <v>1045</v>
      </c>
    </row>
    <row r="45" spans="1:4" x14ac:dyDescent="0.35">
      <c r="A45" s="351" t="s">
        <v>1082</v>
      </c>
      <c r="B45" s="392" t="s">
        <v>997</v>
      </c>
      <c r="C45" s="396">
        <v>22</v>
      </c>
      <c r="D45" s="394" t="s">
        <v>1046</v>
      </c>
    </row>
    <row r="46" spans="1:4" ht="28" x14ac:dyDescent="0.35">
      <c r="B46" s="393"/>
      <c r="C46" s="397"/>
      <c r="D46" s="395" t="s">
        <v>1047</v>
      </c>
    </row>
    <row r="47" spans="1:4" x14ac:dyDescent="0.35">
      <c r="A47" s="351" t="s">
        <v>1083</v>
      </c>
      <c r="B47" s="392" t="s">
        <v>997</v>
      </c>
      <c r="C47" s="396">
        <v>23</v>
      </c>
      <c r="D47" s="394" t="s">
        <v>1048</v>
      </c>
    </row>
    <row r="48" spans="1:4" x14ac:dyDescent="0.35">
      <c r="B48" s="393"/>
      <c r="C48" s="397"/>
      <c r="D48" s="395" t="s">
        <v>1124</v>
      </c>
    </row>
    <row r="49" spans="1:4" x14ac:dyDescent="0.35">
      <c r="A49" s="351" t="s">
        <v>1084</v>
      </c>
      <c r="B49" s="392" t="s">
        <v>997</v>
      </c>
      <c r="C49" s="396">
        <v>24</v>
      </c>
      <c r="D49" s="394" t="s">
        <v>1049</v>
      </c>
    </row>
    <row r="50" spans="1:4" x14ac:dyDescent="0.35">
      <c r="B50" s="393"/>
      <c r="C50" s="397"/>
      <c r="D50" s="395" t="s">
        <v>1050</v>
      </c>
    </row>
    <row r="51" spans="1:4" x14ac:dyDescent="0.35">
      <c r="A51" s="351" t="s">
        <v>1085</v>
      </c>
      <c r="B51" s="392" t="s">
        <v>997</v>
      </c>
      <c r="C51" s="396">
        <v>25</v>
      </c>
      <c r="D51" s="394" t="s">
        <v>1051</v>
      </c>
    </row>
    <row r="52" spans="1:4" ht="28" x14ac:dyDescent="0.35">
      <c r="B52" s="393"/>
      <c r="C52" s="397"/>
      <c r="D52" s="395" t="s">
        <v>1052</v>
      </c>
    </row>
    <row r="53" spans="1:4" x14ac:dyDescent="0.35">
      <c r="A53" s="351" t="s">
        <v>1086</v>
      </c>
      <c r="B53" s="392" t="s">
        <v>997</v>
      </c>
      <c r="C53" s="396">
        <v>26</v>
      </c>
      <c r="D53" s="394" t="s">
        <v>1053</v>
      </c>
    </row>
    <row r="54" spans="1:4" ht="28" x14ac:dyDescent="0.35">
      <c r="B54" s="393"/>
      <c r="C54" s="397"/>
      <c r="D54" s="395" t="s">
        <v>1054</v>
      </c>
    </row>
    <row r="55" spans="1:4" x14ac:dyDescent="0.35">
      <c r="A55" s="351" t="s">
        <v>1087</v>
      </c>
      <c r="B55" s="392" t="s">
        <v>997</v>
      </c>
      <c r="C55" s="396">
        <v>27</v>
      </c>
      <c r="D55" s="394" t="s">
        <v>1055</v>
      </c>
    </row>
    <row r="56" spans="1:4" x14ac:dyDescent="0.35">
      <c r="B56" s="393"/>
      <c r="C56" s="397"/>
      <c r="D56" s="395" t="s">
        <v>1056</v>
      </c>
    </row>
    <row r="57" spans="1:4" x14ac:dyDescent="0.35">
      <c r="A57" s="351" t="s">
        <v>1088</v>
      </c>
      <c r="B57" s="392" t="s">
        <v>997</v>
      </c>
      <c r="C57" s="396">
        <v>28</v>
      </c>
      <c r="D57" s="394" t="s">
        <v>1057</v>
      </c>
    </row>
    <row r="58" spans="1:4" ht="28" x14ac:dyDescent="0.35">
      <c r="B58" s="393"/>
      <c r="C58" s="397"/>
      <c r="D58" s="395" t="s">
        <v>1058</v>
      </c>
    </row>
    <row r="59" spans="1:4" x14ac:dyDescent="0.35">
      <c r="A59" s="351" t="s">
        <v>1089</v>
      </c>
      <c r="B59" s="392" t="s">
        <v>997</v>
      </c>
      <c r="C59" s="396">
        <v>29</v>
      </c>
      <c r="D59" s="394" t="s">
        <v>1059</v>
      </c>
    </row>
    <row r="60" spans="1:4" ht="28" x14ac:dyDescent="0.35">
      <c r="B60" s="393"/>
      <c r="C60" s="397"/>
      <c r="D60" s="395" t="s">
        <v>1060</v>
      </c>
    </row>
  </sheetData>
  <mergeCells count="2">
    <mergeCell ref="B1:D1"/>
    <mergeCell ref="B2:C2"/>
  </mergeCells>
  <pageMargins left="0.7" right="0.7" top="0.75" bottom="0.75" header="0.3" footer="0.3"/>
  <pageSetup orientation="portrait" r:id="rId1"/>
  <headerFooter>
    <oddHeader xml:space="preserve">&amp;CLocus of control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6"/>
  <sheetViews>
    <sheetView view="pageLayout" topLeftCell="B1" zoomScaleNormal="100" workbookViewId="0">
      <selection activeCell="D30" sqref="D30"/>
    </sheetView>
  </sheetViews>
  <sheetFormatPr defaultRowHeight="14.5" x14ac:dyDescent="0.35"/>
  <cols>
    <col min="1" max="1" width="0" style="351" hidden="1" customWidth="1"/>
    <col min="2" max="2" width="3.26953125" customWidth="1"/>
    <col min="3" max="3" width="3.1796875" customWidth="1"/>
    <col min="4" max="4" width="33.453125" customWidth="1"/>
    <col min="5" max="5" width="3.7265625" bestFit="1" customWidth="1"/>
    <col min="8" max="8" width="21.7265625" customWidth="1"/>
    <col min="9" max="9" width="2.54296875" customWidth="1"/>
    <col min="10" max="10" width="3.7265625" customWidth="1"/>
  </cols>
  <sheetData>
    <row r="1" spans="1:10" x14ac:dyDescent="0.35">
      <c r="A1" s="351" t="s">
        <v>722</v>
      </c>
      <c r="B1" s="785" t="s">
        <v>0</v>
      </c>
      <c r="C1" s="786"/>
      <c r="D1" s="283" t="s">
        <v>1</v>
      </c>
      <c r="E1" s="785" t="s">
        <v>2</v>
      </c>
      <c r="F1" s="786"/>
      <c r="G1" s="283"/>
      <c r="H1" s="283"/>
      <c r="I1" s="715" t="s">
        <v>395</v>
      </c>
      <c r="J1" s="716"/>
    </row>
    <row r="2" spans="1:10" x14ac:dyDescent="0.35">
      <c r="A2" s="351" t="s">
        <v>953</v>
      </c>
      <c r="B2" s="114" t="s">
        <v>646</v>
      </c>
      <c r="C2" s="274">
        <v>1</v>
      </c>
      <c r="D2" s="275" t="s">
        <v>647</v>
      </c>
      <c r="E2" s="276"/>
      <c r="F2" s="787" t="s">
        <v>648</v>
      </c>
      <c r="G2" s="787"/>
      <c r="H2" s="491"/>
      <c r="I2" s="277"/>
      <c r="J2" s="278"/>
    </row>
    <row r="3" spans="1:10" ht="26" x14ac:dyDescent="0.35">
      <c r="B3" s="118" t="s">
        <v>646</v>
      </c>
      <c r="C3" s="401" t="s">
        <v>1098</v>
      </c>
      <c r="D3" s="179" t="s">
        <v>1099</v>
      </c>
      <c r="E3" s="250">
        <v>1</v>
      </c>
      <c r="F3" s="565" t="s">
        <v>1100</v>
      </c>
      <c r="G3" s="565"/>
      <c r="H3" s="466"/>
      <c r="I3" s="279"/>
      <c r="J3" s="65"/>
    </row>
    <row r="4" spans="1:10" x14ac:dyDescent="0.35">
      <c r="B4" s="118"/>
      <c r="C4" s="401"/>
      <c r="D4" s="179"/>
      <c r="E4" s="10">
        <v>2</v>
      </c>
      <c r="F4" s="494" t="s">
        <v>26</v>
      </c>
      <c r="G4" s="494"/>
      <c r="H4" s="456"/>
      <c r="I4" s="279"/>
      <c r="J4" s="65"/>
    </row>
    <row r="5" spans="1:10" ht="26" x14ac:dyDescent="0.35">
      <c r="B5" s="118"/>
      <c r="C5" s="401"/>
      <c r="D5" s="179" t="s">
        <v>1119</v>
      </c>
      <c r="E5" s="658"/>
      <c r="F5" s="794"/>
      <c r="G5" s="794"/>
      <c r="H5" s="659"/>
      <c r="I5" s="279"/>
      <c r="J5" s="65"/>
    </row>
    <row r="6" spans="1:10" x14ac:dyDescent="0.35">
      <c r="A6" s="353" t="s">
        <v>954</v>
      </c>
      <c r="B6" s="788" t="s">
        <v>646</v>
      </c>
      <c r="C6" s="790">
        <f>C2+1</f>
        <v>2</v>
      </c>
      <c r="D6" s="792" t="s">
        <v>649</v>
      </c>
      <c r="E6" s="7">
        <v>1</v>
      </c>
      <c r="F6" s="492" t="s">
        <v>650</v>
      </c>
      <c r="G6" s="492"/>
      <c r="H6" s="492"/>
      <c r="I6" s="279"/>
      <c r="J6" s="65"/>
    </row>
    <row r="7" spans="1:10" x14ac:dyDescent="0.35">
      <c r="B7" s="789"/>
      <c r="C7" s="791"/>
      <c r="D7" s="793"/>
      <c r="E7" s="10">
        <v>2</v>
      </c>
      <c r="F7" s="494" t="s">
        <v>26</v>
      </c>
      <c r="G7" s="494"/>
      <c r="H7" s="494"/>
      <c r="I7" s="15"/>
      <c r="J7" s="73"/>
    </row>
    <row r="8" spans="1:10" ht="39" customHeight="1" x14ac:dyDescent="0.35">
      <c r="A8" s="352" t="s">
        <v>945</v>
      </c>
      <c r="B8" s="778" t="s">
        <v>646</v>
      </c>
      <c r="C8" s="779">
        <f>C6+1</f>
        <v>3</v>
      </c>
      <c r="D8" s="458" t="s">
        <v>651</v>
      </c>
      <c r="E8" s="7">
        <v>1</v>
      </c>
      <c r="F8" s="492" t="s">
        <v>652</v>
      </c>
      <c r="G8" s="492"/>
      <c r="H8" s="463"/>
      <c r="I8" s="205"/>
      <c r="J8" s="197"/>
    </row>
    <row r="9" spans="1:10" x14ac:dyDescent="0.35">
      <c r="B9" s="772"/>
      <c r="C9" s="780"/>
      <c r="D9" s="454"/>
      <c r="E9" s="21">
        <f>E8+1</f>
        <v>2</v>
      </c>
      <c r="F9" s="493" t="s">
        <v>653</v>
      </c>
      <c r="G9" s="493"/>
      <c r="H9" s="453"/>
      <c r="I9" s="193"/>
      <c r="J9" s="199"/>
    </row>
    <row r="10" spans="1:10" ht="41.25" customHeight="1" x14ac:dyDescent="0.35">
      <c r="B10" s="773"/>
      <c r="C10" s="781"/>
      <c r="D10" s="461"/>
      <c r="E10" s="10">
        <f>E9+1</f>
        <v>3</v>
      </c>
      <c r="F10" s="494" t="s">
        <v>654</v>
      </c>
      <c r="G10" s="494"/>
      <c r="H10" s="456"/>
      <c r="I10" s="196"/>
      <c r="J10" s="200"/>
    </row>
    <row r="11" spans="1:10" ht="22" x14ac:dyDescent="0.35">
      <c r="A11" s="352" t="s">
        <v>946</v>
      </c>
      <c r="B11" s="778" t="s">
        <v>646</v>
      </c>
      <c r="C11" s="779">
        <f>C8+1</f>
        <v>4</v>
      </c>
      <c r="D11" s="458" t="s">
        <v>655</v>
      </c>
      <c r="E11" s="7">
        <v>1</v>
      </c>
      <c r="F11" s="492" t="s">
        <v>656</v>
      </c>
      <c r="G11" s="492"/>
      <c r="H11" s="463"/>
      <c r="I11" s="205"/>
      <c r="J11" s="197"/>
    </row>
    <row r="12" spans="1:10" x14ac:dyDescent="0.35">
      <c r="B12" s="772"/>
      <c r="C12" s="780"/>
      <c r="D12" s="454"/>
      <c r="E12" s="21">
        <f>E11+1</f>
        <v>2</v>
      </c>
      <c r="F12" s="493" t="s">
        <v>657</v>
      </c>
      <c r="G12" s="493"/>
      <c r="H12" s="453"/>
      <c r="I12" s="193"/>
      <c r="J12" s="199"/>
    </row>
    <row r="13" spans="1:10" x14ac:dyDescent="0.35">
      <c r="B13" s="772"/>
      <c r="C13" s="780"/>
      <c r="D13" s="454"/>
      <c r="E13" s="21">
        <f>E12+1</f>
        <v>3</v>
      </c>
      <c r="F13" s="493" t="s">
        <v>658</v>
      </c>
      <c r="G13" s="493"/>
      <c r="H13" s="453"/>
      <c r="I13" s="193"/>
      <c r="J13" s="199"/>
    </row>
    <row r="14" spans="1:10" ht="15" thickBot="1" x14ac:dyDescent="0.4">
      <c r="B14" s="773"/>
      <c r="C14" s="781"/>
      <c r="D14" s="461"/>
      <c r="E14" s="10">
        <f>E13+1</f>
        <v>4</v>
      </c>
      <c r="F14" s="494" t="s">
        <v>659</v>
      </c>
      <c r="G14" s="494"/>
      <c r="H14" s="456"/>
      <c r="I14" s="196"/>
      <c r="J14" s="200"/>
    </row>
    <row r="15" spans="1:10" x14ac:dyDescent="0.35">
      <c r="A15" s="352" t="s">
        <v>947</v>
      </c>
      <c r="B15" s="778" t="s">
        <v>646</v>
      </c>
      <c r="C15" s="779">
        <f>C11+1</f>
        <v>5</v>
      </c>
      <c r="D15" s="782" t="s">
        <v>660</v>
      </c>
      <c r="E15" s="7">
        <v>1</v>
      </c>
      <c r="F15" s="492" t="s">
        <v>661</v>
      </c>
      <c r="G15" s="492"/>
      <c r="H15" s="463"/>
      <c r="I15" s="205"/>
      <c r="J15" s="197"/>
    </row>
    <row r="16" spans="1:10" x14ac:dyDescent="0.35">
      <c r="B16" s="772"/>
      <c r="C16" s="780"/>
      <c r="D16" s="783"/>
      <c r="E16" s="21">
        <f>E15+1</f>
        <v>2</v>
      </c>
      <c r="F16" s="493" t="s">
        <v>662</v>
      </c>
      <c r="G16" s="493"/>
      <c r="H16" s="453"/>
      <c r="I16" s="193"/>
      <c r="J16" s="199"/>
    </row>
    <row r="17" spans="1:10" x14ac:dyDescent="0.35">
      <c r="B17" s="772"/>
      <c r="C17" s="780"/>
      <c r="D17" s="783"/>
      <c r="E17" s="21">
        <f>E16+1</f>
        <v>3</v>
      </c>
      <c r="F17" s="493" t="s">
        <v>663</v>
      </c>
      <c r="G17" s="493"/>
      <c r="H17" s="453"/>
      <c r="I17" s="193"/>
      <c r="J17" s="199"/>
    </row>
    <row r="18" spans="1:10" ht="15" thickBot="1" x14ac:dyDescent="0.4">
      <c r="B18" s="773"/>
      <c r="C18" s="781"/>
      <c r="D18" s="784"/>
      <c r="E18" s="10">
        <f>E17+1</f>
        <v>4</v>
      </c>
      <c r="F18" s="494" t="s">
        <v>664</v>
      </c>
      <c r="G18" s="494"/>
      <c r="H18" s="456"/>
      <c r="I18" s="196"/>
      <c r="J18" s="200"/>
    </row>
    <row r="19" spans="1:10" x14ac:dyDescent="0.35">
      <c r="A19" s="378" t="s">
        <v>948</v>
      </c>
      <c r="B19" s="778" t="s">
        <v>646</v>
      </c>
      <c r="C19" s="779">
        <f>C15+1</f>
        <v>6</v>
      </c>
      <c r="D19" s="782" t="s">
        <v>665</v>
      </c>
      <c r="E19" s="7">
        <v>1</v>
      </c>
      <c r="F19" s="492" t="s">
        <v>666</v>
      </c>
      <c r="G19" s="492"/>
      <c r="H19" s="463"/>
      <c r="I19" s="205"/>
      <c r="J19" s="197"/>
    </row>
    <row r="20" spans="1:10" x14ac:dyDescent="0.35">
      <c r="B20" s="772"/>
      <c r="C20" s="780"/>
      <c r="D20" s="454"/>
      <c r="E20" s="21">
        <f>E19+1</f>
        <v>2</v>
      </c>
      <c r="F20" s="493" t="s">
        <v>667</v>
      </c>
      <c r="G20" s="493"/>
      <c r="H20" s="453"/>
      <c r="I20" s="193"/>
      <c r="J20" s="199"/>
    </row>
    <row r="21" spans="1:10" x14ac:dyDescent="0.35">
      <c r="B21" s="772"/>
      <c r="C21" s="780"/>
      <c r="D21" s="454"/>
      <c r="E21" s="21">
        <f>E20+1</f>
        <v>3</v>
      </c>
      <c r="F21" s="493" t="s">
        <v>668</v>
      </c>
      <c r="G21" s="493"/>
      <c r="H21" s="453"/>
      <c r="I21" s="193"/>
      <c r="J21" s="199"/>
    </row>
    <row r="22" spans="1:10" ht="28.5" customHeight="1" x14ac:dyDescent="0.35">
      <c r="B22" s="772"/>
      <c r="C22" s="780"/>
      <c r="D22" s="454"/>
      <c r="E22" s="21">
        <f>E21+1</f>
        <v>4</v>
      </c>
      <c r="F22" s="493" t="s">
        <v>669</v>
      </c>
      <c r="G22" s="493"/>
      <c r="H22" s="453"/>
      <c r="I22" s="193"/>
      <c r="J22" s="199"/>
    </row>
    <row r="23" spans="1:10" x14ac:dyDescent="0.35">
      <c r="B23" s="773"/>
      <c r="C23" s="781"/>
      <c r="D23" s="461"/>
      <c r="E23" s="10">
        <f>E22+1</f>
        <v>5</v>
      </c>
      <c r="F23" s="494" t="s">
        <v>670</v>
      </c>
      <c r="G23" s="494"/>
      <c r="H23" s="456"/>
      <c r="I23" s="196"/>
      <c r="J23" s="200"/>
    </row>
    <row r="24" spans="1:10" ht="22" x14ac:dyDescent="0.35">
      <c r="A24" s="352" t="s">
        <v>949</v>
      </c>
      <c r="B24" s="772" t="s">
        <v>646</v>
      </c>
      <c r="C24" s="774">
        <f>C19+1</f>
        <v>7</v>
      </c>
      <c r="D24" s="776" t="s">
        <v>1118</v>
      </c>
      <c r="E24" s="280">
        <v>1</v>
      </c>
      <c r="F24" s="493" t="s">
        <v>26</v>
      </c>
      <c r="G24" s="493"/>
      <c r="H24" s="453"/>
      <c r="I24" s="267" t="s">
        <v>211</v>
      </c>
      <c r="J24" s="281">
        <f>C31</f>
        <v>9</v>
      </c>
    </row>
    <row r="25" spans="1:10" x14ac:dyDescent="0.35">
      <c r="B25" s="772"/>
      <c r="C25" s="774"/>
      <c r="D25" s="776"/>
      <c r="E25" s="280">
        <v>2</v>
      </c>
      <c r="F25" s="493" t="s">
        <v>671</v>
      </c>
      <c r="G25" s="493"/>
      <c r="H25" s="453"/>
      <c r="I25" s="190"/>
      <c r="J25" s="282"/>
    </row>
    <row r="26" spans="1:10" ht="26" x14ac:dyDescent="0.35">
      <c r="B26" s="772"/>
      <c r="C26" s="774"/>
      <c r="D26" s="776"/>
      <c r="E26" s="280">
        <v>3</v>
      </c>
      <c r="F26" s="81" t="s">
        <v>672</v>
      </c>
      <c r="G26" s="81"/>
      <c r="H26" s="22"/>
      <c r="I26" s="190"/>
      <c r="J26" s="282"/>
    </row>
    <row r="27" spans="1:10" x14ac:dyDescent="0.35">
      <c r="B27" s="772"/>
      <c r="C27" s="774"/>
      <c r="D27" s="776"/>
      <c r="E27" s="280">
        <v>4</v>
      </c>
      <c r="F27" s="81" t="s">
        <v>673</v>
      </c>
      <c r="G27" s="81"/>
      <c r="H27" s="22"/>
      <c r="I27" s="190"/>
      <c r="J27" s="282"/>
    </row>
    <row r="28" spans="1:10" ht="26" x14ac:dyDescent="0.35">
      <c r="B28" s="772"/>
      <c r="C28" s="774"/>
      <c r="D28" s="776"/>
      <c r="E28" s="280">
        <v>5</v>
      </c>
      <c r="F28" s="81" t="s">
        <v>674</v>
      </c>
      <c r="G28" s="81"/>
      <c r="H28" s="22"/>
      <c r="I28" s="190"/>
      <c r="J28" s="282"/>
    </row>
    <row r="29" spans="1:10" x14ac:dyDescent="0.35">
      <c r="B29" s="773"/>
      <c r="C29" s="775"/>
      <c r="D29" s="777"/>
      <c r="E29" s="90">
        <v>-66</v>
      </c>
      <c r="F29" s="618" t="s">
        <v>675</v>
      </c>
      <c r="G29" s="618"/>
      <c r="H29" s="619"/>
      <c r="I29" s="267"/>
      <c r="J29" s="281"/>
    </row>
    <row r="30" spans="1:10" ht="55.5" customHeight="1" x14ac:dyDescent="0.35">
      <c r="A30" s="352" t="s">
        <v>950</v>
      </c>
      <c r="B30" s="114" t="s">
        <v>646</v>
      </c>
      <c r="C30" s="273">
        <f>C24+1</f>
        <v>8</v>
      </c>
      <c r="D30" s="30" t="s">
        <v>676</v>
      </c>
      <c r="E30" s="766"/>
      <c r="F30" s="767"/>
      <c r="G30" s="767"/>
      <c r="H30" s="768"/>
      <c r="I30" s="73"/>
      <c r="J30" s="73"/>
    </row>
    <row r="31" spans="1:10" x14ac:dyDescent="0.35">
      <c r="A31" s="352" t="s">
        <v>951</v>
      </c>
      <c r="B31" s="114" t="s">
        <v>646</v>
      </c>
      <c r="C31" s="273">
        <f>C30+1</f>
        <v>9</v>
      </c>
      <c r="D31" s="30" t="s">
        <v>677</v>
      </c>
      <c r="E31" s="766"/>
      <c r="F31" s="767"/>
      <c r="G31" s="767"/>
      <c r="H31" s="768"/>
      <c r="I31" s="73"/>
      <c r="J31" s="73"/>
    </row>
    <row r="32" spans="1:10" x14ac:dyDescent="0.35">
      <c r="A32" s="352" t="s">
        <v>952</v>
      </c>
      <c r="B32" s="114" t="s">
        <v>678</v>
      </c>
      <c r="C32" s="273">
        <f>C31+1</f>
        <v>10</v>
      </c>
      <c r="D32" s="30" t="s">
        <v>679</v>
      </c>
      <c r="E32" s="769" t="s">
        <v>680</v>
      </c>
      <c r="F32" s="770"/>
      <c r="G32" s="770"/>
      <c r="H32" s="771"/>
      <c r="I32" s="73"/>
      <c r="J32" s="73"/>
    </row>
    <row r="34" spans="1:1" x14ac:dyDescent="0.35">
      <c r="A34" s="352"/>
    </row>
    <row r="36" spans="1:1" x14ac:dyDescent="0.35">
      <c r="A36" s="352"/>
    </row>
  </sheetData>
  <mergeCells count="49">
    <mergeCell ref="B1:C1"/>
    <mergeCell ref="E1:F1"/>
    <mergeCell ref="I1:J1"/>
    <mergeCell ref="F2:H2"/>
    <mergeCell ref="B6:B7"/>
    <mergeCell ref="C6:C7"/>
    <mergeCell ref="D6:D7"/>
    <mergeCell ref="F6:H6"/>
    <mergeCell ref="F7:H7"/>
    <mergeCell ref="F3:H3"/>
    <mergeCell ref="F4:H4"/>
    <mergeCell ref="E5:H5"/>
    <mergeCell ref="B8:B10"/>
    <mergeCell ref="C8:C10"/>
    <mergeCell ref="D8:D10"/>
    <mergeCell ref="F8:H8"/>
    <mergeCell ref="F9:H9"/>
    <mergeCell ref="F10:H10"/>
    <mergeCell ref="B11:B14"/>
    <mergeCell ref="C11:C14"/>
    <mergeCell ref="D11:D14"/>
    <mergeCell ref="F11:H11"/>
    <mergeCell ref="F12:H12"/>
    <mergeCell ref="F13:H13"/>
    <mergeCell ref="F14:H14"/>
    <mergeCell ref="B15:B18"/>
    <mergeCell ref="C15:C18"/>
    <mergeCell ref="D15:D18"/>
    <mergeCell ref="F15:H15"/>
    <mergeCell ref="F16:H16"/>
    <mergeCell ref="F17:H17"/>
    <mergeCell ref="F18:H18"/>
    <mergeCell ref="B19:B23"/>
    <mergeCell ref="C19:C23"/>
    <mergeCell ref="D19:D23"/>
    <mergeCell ref="F19:H19"/>
    <mergeCell ref="F20:H20"/>
    <mergeCell ref="F21:H21"/>
    <mergeCell ref="F22:H22"/>
    <mergeCell ref="F23:H23"/>
    <mergeCell ref="E30:H30"/>
    <mergeCell ref="E31:H31"/>
    <mergeCell ref="E32:H32"/>
    <mergeCell ref="B24:B29"/>
    <mergeCell ref="C24:C29"/>
    <mergeCell ref="D24:D29"/>
    <mergeCell ref="F24:H24"/>
    <mergeCell ref="F25:H25"/>
    <mergeCell ref="F29:H29"/>
  </mergeCells>
  <pageMargins left="0.7" right="0.7" top="0.75" bottom="0.75" header="0.3" footer="0.3"/>
  <pageSetup orientation="portrait" r:id="rId1"/>
  <headerFooter>
    <oddHeader>&amp;CWrap-up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Outline</vt:lpstr>
      <vt:lpstr>Intro </vt:lpstr>
      <vt:lpstr>Basic Info </vt:lpstr>
      <vt:lpstr>HH Resources, ASSETS </vt:lpstr>
      <vt:lpstr>Child roster, Edu </vt:lpstr>
      <vt:lpstr>Food (Exp)Diveristy </vt:lpstr>
      <vt:lpstr>Non-Food Exp</vt:lpstr>
      <vt:lpstr>Income</vt:lpstr>
      <vt:lpstr>Time use income</vt:lpstr>
      <vt:lpstr>Savings</vt:lpstr>
      <vt:lpstr>-Transfers</vt:lpstr>
      <vt:lpstr>-Borrowing </vt:lpstr>
      <vt:lpstr>-Lending </vt:lpstr>
      <vt:lpstr>Self-esteem, rosenburg</vt:lpstr>
      <vt:lpstr>Optimism, Catril </vt:lpstr>
      <vt:lpstr>Sexual Activity</vt:lpstr>
      <vt:lpstr>Food Security </vt:lpstr>
      <vt:lpstr>Locus of control, Rotter </vt:lpstr>
      <vt:lpstr>Wrap-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Jonna</dc:creator>
  <cp:lastModifiedBy>Pamela Jakiela</cp:lastModifiedBy>
  <cp:lastPrinted>2015-02-08T11:33:25Z</cp:lastPrinted>
  <dcterms:created xsi:type="dcterms:W3CDTF">2014-07-01T12:08:55Z</dcterms:created>
  <dcterms:modified xsi:type="dcterms:W3CDTF">2026-01-30T15:30:52Z</dcterms:modified>
</cp:coreProperties>
</file>