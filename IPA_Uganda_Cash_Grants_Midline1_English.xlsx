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pjaki\Dropbox\TASO\Instruments\posted\"/>
    </mc:Choice>
  </mc:AlternateContent>
  <xr:revisionPtr revIDLastSave="0" documentId="13_ncr:1_{6EA21C64-00FE-4987-B0D2-D30A874CDD2C}" xr6:coauthVersionLast="47" xr6:coauthVersionMax="47" xr10:uidLastSave="{00000000-0000-0000-0000-000000000000}"/>
  <bookViews>
    <workbookView xWindow="-10540" yWindow="-20040" windowWidth="27000" windowHeight="18460" firstSheet="8" activeTab="12" xr2:uid="{00000000-000D-0000-FFFF-FFFF00000000}"/>
  </bookViews>
  <sheets>
    <sheet name="A. Introduction" sheetId="16" r:id="rId1"/>
    <sheet name="B. Basic Info" sheetId="18" r:id="rId2"/>
    <sheet name="C. Food Expenditure" sheetId="15" r:id="rId3"/>
    <sheet name="D. Non-food Expenditure" sheetId="29" r:id="rId4"/>
    <sheet name="G. Income" sheetId="20" r:id="rId5"/>
    <sheet name="E. Business expenditure" sheetId="3" r:id="rId6"/>
    <sheet name="F. Plans " sheetId="26" r:id="rId7"/>
    <sheet name="H. Time use" sheetId="21" r:id="rId8"/>
    <sheet name="I-K. Savings &amp; Transfers" sheetId="6" r:id="rId9"/>
    <sheet name="I+L. Borrowing " sheetId="28" r:id="rId10"/>
    <sheet name="M. LENDING " sheetId="30" r:id="rId11"/>
    <sheet name="J. Food Security" sheetId="9" r:id="rId12"/>
    <sheet name="N. Wrap-up" sheetId="19" r:id="rId13"/>
    <sheet name="Sections in Survey " sheetId="31"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9" l="1"/>
  <c r="D8" i="26"/>
  <c r="D9" i="26" s="1"/>
  <c r="D10" i="26" s="1"/>
  <c r="D11" i="26" s="1"/>
  <c r="D12" i="26" s="1"/>
  <c r="D53" i="18"/>
  <c r="D54" i="18"/>
  <c r="D55" i="18" s="1"/>
  <c r="D56" i="18" s="1"/>
  <c r="D57" i="18" s="1"/>
  <c r="D41" i="18"/>
  <c r="D42" i="18"/>
  <c r="D43" i="18" s="1"/>
  <c r="D44" i="18" s="1"/>
  <c r="D45" i="18" s="1"/>
  <c r="D46" i="18" s="1"/>
  <c r="D47" i="18" s="1"/>
  <c r="B40" i="18"/>
  <c r="B52" i="18" s="1"/>
  <c r="D23" i="18"/>
  <c r="D24" i="18"/>
  <c r="D25" i="18" s="1"/>
  <c r="D26" i="18" s="1"/>
  <c r="D27" i="18" s="1"/>
  <c r="D28" i="18" s="1"/>
  <c r="D29" i="18" s="1"/>
  <c r="D30" i="18" s="1"/>
  <c r="D31" i="18" s="1"/>
  <c r="D32" i="18" s="1"/>
  <c r="D33" i="18" s="1"/>
  <c r="D34" i="18" s="1"/>
  <c r="D35" i="18" s="1"/>
  <c r="D36" i="18" s="1"/>
  <c r="D15" i="18"/>
  <c r="D16" i="18"/>
  <c r="D17" i="18" s="1"/>
  <c r="D18" i="18" s="1"/>
  <c r="D19" i="18" s="1"/>
  <c r="D10" i="18"/>
  <c r="D11" i="18"/>
  <c r="D12" i="18" s="1"/>
  <c r="D13" i="18" s="1"/>
  <c r="D136" i="26"/>
  <c r="D137" i="26" s="1"/>
  <c r="D138" i="26" s="1"/>
  <c r="D139" i="26" s="1"/>
  <c r="D140" i="26" s="1"/>
  <c r="D141" i="26" s="1"/>
  <c r="D142" i="26" s="1"/>
  <c r="D143" i="26" s="1"/>
  <c r="D144" i="26" s="1"/>
  <c r="D145" i="26" s="1"/>
  <c r="D146" i="26" s="1"/>
  <c r="D147" i="26" s="1"/>
  <c r="D148" i="26" s="1"/>
  <c r="D149" i="26" s="1"/>
  <c r="D126" i="26"/>
  <c r="D127" i="26" s="1"/>
  <c r="D128" i="26" s="1"/>
  <c r="D129" i="26" s="1"/>
  <c r="D130" i="26" s="1"/>
  <c r="D108" i="26"/>
  <c r="D109" i="26"/>
  <c r="D110" i="26" s="1"/>
  <c r="D93" i="26"/>
  <c r="D94" i="26"/>
  <c r="D95" i="26" s="1"/>
  <c r="D96" i="26" s="1"/>
  <c r="D97" i="26" s="1"/>
  <c r="D98" i="26" s="1"/>
  <c r="D99" i="26" s="1"/>
  <c r="D100" i="26" s="1"/>
  <c r="D101" i="26" s="1"/>
  <c r="D102" i="26" s="1"/>
  <c r="D103" i="26" s="1"/>
  <c r="D77" i="26"/>
  <c r="D78" i="26" s="1"/>
  <c r="D79" i="26" s="1"/>
  <c r="D80" i="26" s="1"/>
  <c r="D81" i="26" s="1"/>
  <c r="D82" i="26" s="1"/>
  <c r="D83" i="26" s="1"/>
  <c r="D84" i="26" s="1"/>
  <c r="B71" i="26"/>
  <c r="B76" i="26"/>
  <c r="B88" i="26" s="1"/>
  <c r="B92" i="26" s="1"/>
  <c r="B107" i="26" s="1"/>
  <c r="D47" i="26"/>
  <c r="D48" i="26" s="1"/>
  <c r="D49" i="26" s="1"/>
  <c r="D50" i="26" s="1"/>
  <c r="D51" i="26" s="1"/>
  <c r="D52" i="26" s="1"/>
  <c r="D53" i="26" s="1"/>
  <c r="D54" i="26" s="1"/>
  <c r="D55" i="26" s="1"/>
  <c r="D56" i="26" s="1"/>
  <c r="D57" i="26" s="1"/>
  <c r="D58" i="26" s="1"/>
  <c r="D59" i="26" s="1"/>
  <c r="D60" i="26" s="1"/>
  <c r="D61" i="26" s="1"/>
  <c r="D62" i="26" s="1"/>
  <c r="D31" i="26"/>
  <c r="D32" i="26"/>
  <c r="D33" i="26" s="1"/>
  <c r="D34" i="26" s="1"/>
  <c r="D35" i="26" s="1"/>
  <c r="D36" i="26" s="1"/>
  <c r="D37" i="26" s="1"/>
  <c r="D38" i="26" s="1"/>
  <c r="D39" i="26" s="1"/>
  <c r="D40" i="26" s="1"/>
  <c r="D41" i="26" s="1"/>
  <c r="D42" i="26" s="1"/>
  <c r="B30" i="26"/>
  <c r="B46" i="26" s="1"/>
  <c r="B121" i="26" s="1"/>
  <c r="B125" i="26" s="1"/>
  <c r="B135" i="26" s="1"/>
  <c r="B12" i="30"/>
  <c r="B32" i="30" s="1"/>
  <c r="B33" i="30" s="1"/>
  <c r="B37" i="30" s="1"/>
  <c r="D54" i="28"/>
  <c r="D55" i="28"/>
  <c r="D56" i="28" s="1"/>
  <c r="D57" i="28" s="1"/>
  <c r="D58" i="28" s="1"/>
  <c r="D59" i="28" s="1"/>
  <c r="D29" i="28"/>
  <c r="D30" i="28"/>
  <c r="D31" i="28" s="1"/>
  <c r="D32" i="28" s="1"/>
  <c r="D33" i="28" s="1"/>
  <c r="D34" i="28" s="1"/>
  <c r="D35" i="28" s="1"/>
  <c r="D36" i="28" s="1"/>
  <c r="D37" i="28" s="1"/>
  <c r="D38" i="28" s="1"/>
  <c r="D39" i="28" s="1"/>
  <c r="D40" i="28" s="1"/>
  <c r="D41" i="28" s="1"/>
  <c r="D42" i="28" s="1"/>
  <c r="D43" i="28" s="1"/>
  <c r="D44" i="28" s="1"/>
  <c r="D45" i="28" s="1"/>
  <c r="D46" i="28" s="1"/>
  <c r="B27" i="28"/>
  <c r="B28" i="28" s="1"/>
  <c r="B48" i="28" s="1"/>
  <c r="B49" i="28" s="1"/>
  <c r="B53" i="28" s="1"/>
  <c r="B66" i="28" s="1"/>
  <c r="B70" i="28" s="1"/>
  <c r="B71" i="28" s="1"/>
  <c r="B5" i="28"/>
  <c r="B6" i="28" s="1"/>
  <c r="B7" i="28" s="1"/>
  <c r="B8" i="28" s="1"/>
  <c r="B9" i="28" s="1"/>
  <c r="B10" i="28" s="1"/>
  <c r="B11" i="28" s="1"/>
  <c r="B14" i="28" s="1"/>
  <c r="B15" i="28" s="1"/>
  <c r="B17" i="28" s="1"/>
  <c r="D129" i="29"/>
  <c r="D130" i="29" s="1"/>
  <c r="D131" i="29" s="1"/>
  <c r="D132" i="29" s="1"/>
  <c r="D133" i="29" s="1"/>
  <c r="D134" i="29" s="1"/>
  <c r="D135" i="29" s="1"/>
  <c r="D136" i="29" s="1"/>
  <c r="D137" i="29" s="1"/>
  <c r="D138" i="29" s="1"/>
  <c r="D117" i="29"/>
  <c r="D118" i="29"/>
  <c r="D119" i="29" s="1"/>
  <c r="D120" i="29" s="1"/>
  <c r="D121" i="29" s="1"/>
  <c r="D122" i="29" s="1"/>
  <c r="D101" i="29"/>
  <c r="D102" i="29" s="1"/>
  <c r="D103" i="29" s="1"/>
  <c r="D104" i="29" s="1"/>
  <c r="D105" i="29" s="1"/>
  <c r="D106" i="29" s="1"/>
  <c r="B100" i="29"/>
  <c r="B112" i="29"/>
  <c r="B116" i="29"/>
  <c r="B128" i="29"/>
  <c r="B143" i="29"/>
  <c r="B147" i="29"/>
  <c r="B151" i="29" s="1"/>
  <c r="B72" i="29"/>
  <c r="B76" i="29" s="1"/>
  <c r="B80" i="29" s="1"/>
  <c r="B84" i="29" s="1"/>
  <c r="B88" i="29" s="1"/>
  <c r="B92" i="29" s="1"/>
  <c r="B12" i="29"/>
  <c r="B19" i="29" s="1"/>
  <c r="B23" i="29" s="1"/>
  <c r="B27" i="29" s="1"/>
  <c r="B31" i="29" s="1"/>
  <c r="B35" i="29" s="1"/>
  <c r="B39" i="29" s="1"/>
  <c r="B43" i="29" s="1"/>
  <c r="B48" i="29" s="1"/>
  <c r="B52" i="29" s="1"/>
  <c r="B56" i="29" s="1"/>
  <c r="B60" i="29" s="1"/>
  <c r="B64" i="29" s="1"/>
  <c r="B8" i="29"/>
  <c r="D14" i="3"/>
  <c r="D15" i="3"/>
  <c r="D16" i="3"/>
  <c r="D17" i="3" s="1"/>
  <c r="B20" i="6"/>
  <c r="D21" i="6"/>
  <c r="D22" i="6"/>
  <c r="D23" i="6" s="1"/>
  <c r="D24" i="6" s="1"/>
  <c r="D25" i="6" s="1"/>
  <c r="D26" i="6" s="1"/>
  <c r="D27" i="6" s="1"/>
  <c r="D28" i="6" s="1"/>
  <c r="D29" i="6" s="1"/>
  <c r="D30" i="6" s="1"/>
  <c r="D31" i="6" s="1"/>
  <c r="D32" i="6" s="1"/>
  <c r="B58" i="3"/>
  <c r="D19" i="19"/>
  <c r="D20" i="19"/>
  <c r="D21" i="19"/>
  <c r="D22" i="19" s="1"/>
  <c r="D15" i="19"/>
  <c r="D16" i="19" s="1"/>
  <c r="D17" i="19" s="1"/>
  <c r="D11" i="19"/>
  <c r="D12" i="19" s="1"/>
  <c r="D13" i="19" s="1"/>
  <c r="D9" i="19"/>
  <c r="D8" i="19"/>
  <c r="B6" i="19"/>
  <c r="B7" i="19"/>
  <c r="B10" i="19"/>
  <c r="B14" i="19"/>
  <c r="B18" i="19"/>
  <c r="B23" i="19" s="1"/>
  <c r="B29" i="19" s="1"/>
  <c r="B30" i="19" s="1"/>
  <c r="D28" i="9"/>
  <c r="D29" i="9" s="1"/>
  <c r="D20" i="9"/>
  <c r="D19" i="9"/>
  <c r="G17" i="9"/>
  <c r="G16" i="9"/>
  <c r="G15" i="9"/>
  <c r="D10" i="9"/>
  <c r="D11" i="9" s="1"/>
  <c r="G8" i="9"/>
  <c r="G7" i="9"/>
  <c r="B44" i="6"/>
  <c r="B48" i="6"/>
  <c r="B52" i="6" s="1"/>
  <c r="B56" i="6" s="1"/>
  <c r="B62" i="6" s="1"/>
  <c r="B66" i="6" s="1"/>
  <c r="B70" i="6" s="1"/>
  <c r="B74" i="6" s="1"/>
  <c r="B78" i="6" s="1"/>
  <c r="B39" i="3"/>
  <c r="B40" i="3"/>
  <c r="B41" i="3"/>
  <c r="B42" i="3"/>
  <c r="B43" i="3"/>
  <c r="B44" i="3" s="1"/>
  <c r="B45" i="3" s="1"/>
  <c r="B46" i="3" s="1"/>
  <c r="B47" i="3" s="1"/>
  <c r="B48" i="3" s="1"/>
  <c r="B49" i="3" s="1"/>
  <c r="B50" i="3" s="1"/>
  <c r="B21" i="3"/>
  <c r="B24" i="20"/>
  <c r="B9" i="20"/>
  <c r="B13" i="15"/>
  <c r="B17" i="15"/>
  <c r="B21" i="15"/>
  <c r="B25" i="15"/>
  <c r="B29" i="15" s="1"/>
  <c r="B33" i="15" s="1"/>
  <c r="B37" i="15" s="1"/>
  <c r="B41" i="15" s="1"/>
  <c r="B45" i="15" s="1"/>
  <c r="B49" i="15" s="1"/>
  <c r="B53" i="15" s="1"/>
  <c r="D78" i="16"/>
  <c r="D79" i="16"/>
  <c r="D80" i="16" s="1"/>
  <c r="D73" i="16"/>
  <c r="D74" i="16"/>
  <c r="D75" i="16"/>
  <c r="D76" i="16" s="1"/>
  <c r="D65" i="16"/>
  <c r="D66" i="16" s="1"/>
  <c r="D67" i="16" s="1"/>
  <c r="D63" i="16"/>
  <c r="D45" i="16"/>
  <c r="D34" i="16"/>
  <c r="B30" i="16"/>
  <c r="B31" i="16" s="1"/>
  <c r="B32" i="16" s="1"/>
  <c r="B33" i="16" s="1"/>
  <c r="B38" i="16" s="1"/>
  <c r="B39" i="16" s="1"/>
  <c r="B40" i="16" s="1"/>
  <c r="B41" i="16" s="1"/>
  <c r="B42" i="16" s="1"/>
  <c r="B43" i="16" s="1"/>
  <c r="B44" i="16" s="1"/>
  <c r="B46" i="16" s="1"/>
  <c r="B47" i="16" s="1"/>
  <c r="B53" i="16" s="1"/>
  <c r="D14" i="16"/>
  <c r="D15" i="16" s="1"/>
  <c r="D16" i="16" s="1"/>
  <c r="D17" i="16" s="1"/>
  <c r="D18" i="16" s="1"/>
  <c r="D19" i="16" s="1"/>
  <c r="D20" i="16" s="1"/>
  <c r="D21" i="16" s="1"/>
  <c r="D22" i="16" s="1"/>
  <c r="D23" i="16" s="1"/>
  <c r="B13" i="16"/>
  <c r="B25" i="16" s="1"/>
  <c r="B26" i="16" s="1"/>
  <c r="B27" i="16" s="1"/>
  <c r="B28" i="16" s="1"/>
  <c r="D11" i="16"/>
  <c r="D12" i="16" s="1"/>
  <c r="D9" i="16"/>
  <c r="B12" i="6"/>
  <c r="B14" i="6"/>
  <c r="B31" i="19" l="1"/>
  <c r="I23" i="19"/>
  <c r="B54" i="3"/>
  <c r="B55" i="3"/>
  <c r="B56" i="3" s="1"/>
  <c r="B58" i="16"/>
  <c r="B62" i="16" s="1"/>
  <c r="B64" i="16" s="1"/>
  <c r="B70" i="16" s="1"/>
  <c r="B72" i="16" s="1"/>
  <c r="B77" i="16" s="1"/>
  <c r="B57" i="16"/>
</calcChain>
</file>

<file path=xl/sharedStrings.xml><?xml version="1.0" encoding="utf-8"?>
<sst xmlns="http://schemas.openxmlformats.org/spreadsheetml/2006/main" count="1687" uniqueCount="820">
  <si>
    <t>NO.</t>
  </si>
  <si>
    <t>QUESTIONS AND FILTERS</t>
  </si>
  <si>
    <t>CODING CATEGORIES</t>
  </si>
  <si>
    <t>SKIPS</t>
  </si>
  <si>
    <t>Yes</t>
  </si>
  <si>
    <t>No</t>
  </si>
  <si>
    <t xml:space="preserve">Don't know </t>
  </si>
  <si>
    <t>Refused</t>
  </si>
  <si>
    <t xml:space="preserve">N/A </t>
  </si>
  <si>
    <t xml:space="preserve">Other </t>
  </si>
  <si>
    <t>1.a.</t>
  </si>
  <si>
    <t>1.b.</t>
  </si>
  <si>
    <t>Cigaretts or tobacco?</t>
  </si>
  <si>
    <t>Item:</t>
  </si>
  <si>
    <t>2.b.</t>
  </si>
  <si>
    <t>Newspapers and magazines</t>
  </si>
  <si>
    <t xml:space="preserve">Costs related to transportation for your products, yourself and your employees </t>
  </si>
  <si>
    <t>→</t>
  </si>
  <si>
    <t>3.a.</t>
  </si>
  <si>
    <t>3.b.</t>
  </si>
  <si>
    <t>Don’t know</t>
  </si>
  <si>
    <t>Rarely (1-2 times)</t>
  </si>
  <si>
    <t>Sometimes (3-10 times)</t>
  </si>
  <si>
    <t>Often (more than 10 times)</t>
  </si>
  <si>
    <t>2.a.</t>
  </si>
  <si>
    <t>|__|__|</t>
  </si>
  <si>
    <t>Did you or will you have to pay back more money than you borrowed?</t>
  </si>
  <si>
    <t>Name:____________________________</t>
  </si>
  <si>
    <t>Spouse / partner</t>
  </si>
  <si>
    <t>Son / daughter</t>
  </si>
  <si>
    <t>Son-in-law / daughter-in-law</t>
  </si>
  <si>
    <t>Grandchild</t>
  </si>
  <si>
    <t>Mother/father</t>
  </si>
  <si>
    <t>Mother-in-law / father-in-law</t>
  </si>
  <si>
    <t>Grandparent</t>
  </si>
  <si>
    <t>Brother / sister</t>
  </si>
  <si>
    <t>Brother/sister-in-law</t>
  </si>
  <si>
    <t>Niece / nephew</t>
  </si>
  <si>
    <t>Cousin</t>
  </si>
  <si>
    <t xml:space="preserve"> Buying non-essential things (luxury or enjoyment)</t>
  </si>
  <si>
    <t>Basic needs (food or shelter)</t>
  </si>
  <si>
    <t xml:space="preserve">Invest in own business or farm </t>
  </si>
  <si>
    <t xml:space="preserve">Education </t>
  </si>
  <si>
    <t xml:space="preserve">Health </t>
  </si>
  <si>
    <t xml:space="preserve">NAME of borrower </t>
  </si>
  <si>
    <t>for food?</t>
  </si>
  <si>
    <t>for education?</t>
  </si>
  <si>
    <t>to support business?</t>
  </si>
  <si>
    <t>|__|,|__|__|__|,|__|__|__|  UGX</t>
  </si>
  <si>
    <t xml:space="preserve"> | __ | </t>
  </si>
  <si>
    <t xml:space="preserve">Days </t>
  </si>
  <si>
    <t>|__|__|__|,|__|__|__| UGX</t>
  </si>
  <si>
    <t>B.</t>
  </si>
  <si>
    <t>C.</t>
  </si>
  <si>
    <t>E.</t>
  </si>
  <si>
    <t>NAME of source of the loan?</t>
  </si>
  <si>
    <t>G.</t>
  </si>
  <si>
    <r>
      <t>Q</t>
    </r>
    <r>
      <rPr>
        <sz val="9"/>
        <rFont val="Times New Roman"/>
        <family val="1"/>
      </rPr>
      <t>UESTIONS</t>
    </r>
    <r>
      <rPr>
        <sz val="10"/>
        <rFont val="Times New Roman"/>
        <family val="1"/>
      </rPr>
      <t xml:space="preserve"> A</t>
    </r>
    <r>
      <rPr>
        <sz val="9"/>
        <rFont val="Times New Roman"/>
        <family val="1"/>
      </rPr>
      <t>ND</t>
    </r>
    <r>
      <rPr>
        <sz val="10"/>
        <rFont val="Times New Roman"/>
        <family val="1"/>
      </rPr>
      <t xml:space="preserve"> F</t>
    </r>
    <r>
      <rPr>
        <sz val="9"/>
        <rFont val="Times New Roman"/>
        <family val="1"/>
      </rPr>
      <t>ILTERS</t>
    </r>
  </si>
  <si>
    <r>
      <t>C</t>
    </r>
    <r>
      <rPr>
        <sz val="9"/>
        <rFont val="Times New Roman"/>
        <family val="1"/>
      </rPr>
      <t>ODING</t>
    </r>
    <r>
      <rPr>
        <sz val="10"/>
        <rFont val="Times New Roman"/>
        <family val="1"/>
      </rPr>
      <t xml:space="preserve"> C</t>
    </r>
    <r>
      <rPr>
        <sz val="9"/>
        <rFont val="Times New Roman"/>
        <family val="1"/>
      </rPr>
      <t>ATEGORIES</t>
    </r>
  </si>
  <si>
    <r>
      <t>S</t>
    </r>
    <r>
      <rPr>
        <sz val="9"/>
        <rFont val="Times New Roman"/>
        <family val="1"/>
      </rPr>
      <t>KIP</t>
    </r>
  </si>
  <si>
    <t xml:space="preserve">  DD/MM/YY:   |___|___|/|___|___|/|___|___|</t>
  </si>
  <si>
    <t>Masindi</t>
  </si>
  <si>
    <t>Soroti</t>
  </si>
  <si>
    <t>Other: Pilot/test</t>
  </si>
  <si>
    <t>Language of the interview:</t>
  </si>
  <si>
    <t>Respondent First Name:</t>
  </si>
  <si>
    <t>Respondent third/other name:</t>
  </si>
  <si>
    <t>Respondent nickname:</t>
  </si>
  <si>
    <t>id</t>
  </si>
  <si>
    <t>Respondent ID Code</t>
  </si>
  <si>
    <t xml:space="preserve"> |___|___|___|___|___|</t>
  </si>
  <si>
    <t>id_check</t>
  </si>
  <si>
    <t>Respondent ID Code Check</t>
  </si>
  <si>
    <t>taso_id</t>
  </si>
  <si>
    <t>Respondent TASO ID</t>
  </si>
  <si>
    <t xml:space="preserve"> |___|___|___|___|___|___|___|</t>
  </si>
  <si>
    <t>Enumerator’s (FO's) name</t>
  </si>
  <si>
    <t>Enumerator's (FO's)  ID Code</t>
  </si>
  <si>
    <t>|___|___|</t>
  </si>
  <si>
    <t>Team Leader’s name</t>
  </si>
  <si>
    <t>Team Leader's ID Code</t>
  </si>
  <si>
    <t>Is the TL present at the interview?</t>
  </si>
  <si>
    <t xml:space="preserve">Yes        </t>
  </si>
  <si>
    <t>consent</t>
  </si>
  <si>
    <t xml:space="preserve">           Location of interview</t>
  </si>
  <si>
    <t xml:space="preserve">District: </t>
  </si>
  <si>
    <t>County:</t>
  </si>
  <si>
    <t>Sub-county:</t>
  </si>
  <si>
    <t>Parish:</t>
  </si>
  <si>
    <t>Village:</t>
  </si>
  <si>
    <t>LC1 Chairman's Name:</t>
  </si>
  <si>
    <t>Whose phone number is this?</t>
  </si>
  <si>
    <r>
      <rPr>
        <b/>
        <sz val="10"/>
        <rFont val="Times New Roman"/>
        <family val="1"/>
      </rPr>
      <t>Do not read:</t>
    </r>
    <r>
      <rPr>
        <sz val="10"/>
        <rFont val="Times New Roman"/>
        <family val="1"/>
      </rPr>
      <t xml:space="preserve"> Are you suspicious that the person you are interviewing is not the one we sought for an interview?</t>
    </r>
  </si>
  <si>
    <r>
      <rPr>
        <b/>
        <sz val="10"/>
        <rFont val="Times New Roman"/>
        <family val="1"/>
      </rPr>
      <t xml:space="preserve">Do not read: </t>
    </r>
    <r>
      <rPr>
        <sz val="10"/>
        <rFont val="Times New Roman"/>
        <family val="1"/>
      </rPr>
      <t>Does this person seem emotionally, mentally, and physically capable of completing this survey?</t>
    </r>
  </si>
  <si>
    <t>No, intoxicated</t>
  </si>
  <si>
    <t>No, mentally impaired</t>
  </si>
  <si>
    <t>No, too sick or in pain</t>
  </si>
  <si>
    <t>No, deaf</t>
  </si>
  <si>
    <r>
      <rPr>
        <b/>
        <sz val="10"/>
        <rFont val="Times New Roman"/>
        <family val="1"/>
      </rPr>
      <t xml:space="preserve">Do not read: </t>
    </r>
    <r>
      <rPr>
        <sz val="10"/>
        <rFont val="Times New Roman"/>
        <family val="1"/>
      </rPr>
      <t>How well do you know the respondent and the respondent's family?</t>
    </r>
  </si>
  <si>
    <t>I do not know this person or their family</t>
  </si>
  <si>
    <t xml:space="preserve">I know who this person is, or, I have seen them before </t>
  </si>
  <si>
    <t xml:space="preserve">This person is an acquaintance (for example, I interact with him/her once in awhile)  </t>
  </si>
  <si>
    <t>→ Stop survey and consult your team leader</t>
  </si>
  <si>
    <t>I know this person a fair amount or know their family a fair amount</t>
  </si>
  <si>
    <t>I know this person very well (this includes close relatives, good friends) or know this person's family very well</t>
  </si>
  <si>
    <r>
      <rPr>
        <b/>
        <sz val="10"/>
        <rFont val="Times New Roman"/>
        <family val="1"/>
      </rPr>
      <t xml:space="preserve">Do not read: </t>
    </r>
    <r>
      <rPr>
        <sz val="10"/>
        <rFont val="Times New Roman"/>
        <family val="1"/>
      </rPr>
      <t xml:space="preserve">Are you personally from or do you currently live in a geographic location that is close to where this respondent lives? </t>
    </r>
  </si>
  <si>
    <t>No, I am not from or I do not live around this area</t>
  </si>
  <si>
    <t>Yes, I am from or I live in the same parish</t>
  </si>
  <si>
    <t>Yes, I am from or I live in the same village</t>
  </si>
  <si>
    <t>→ If no, stop survey and consult your team leader</t>
  </si>
  <si>
    <t>|__|,|__|__|__|,|__|__|__| UGX</t>
  </si>
  <si>
    <t>Cost in UGX:</t>
  </si>
  <si>
    <t>a. Do you rent land or buildings for your business activities?</t>
  </si>
  <si>
    <t>a. Do you use electricity in the running of your business?</t>
  </si>
  <si>
    <t>Do you grow crops for commercial purpose?</t>
  </si>
  <si>
    <t>Total amount that has to be paid back per month to service any loans  you have in your business?</t>
  </si>
  <si>
    <t>for health care?</t>
  </si>
  <si>
    <t xml:space="preserve">Saving/ loan group </t>
  </si>
  <si>
    <t>Community Group</t>
  </si>
  <si>
    <t xml:space="preserve">Friend </t>
  </si>
  <si>
    <t>Other TASO member</t>
  </si>
  <si>
    <t>Employer/ Employee</t>
  </si>
  <si>
    <t>Charcoal / Firewood?</t>
  </si>
  <si>
    <t>Toilet paper?</t>
  </si>
  <si>
    <t>Yes, I am from or I live in the same sub county</t>
  </si>
  <si>
    <t>Interview site</t>
  </si>
  <si>
    <t>Male</t>
  </si>
  <si>
    <t>Female</t>
  </si>
  <si>
    <t xml:space="preserve">B. </t>
  </si>
  <si>
    <t>Kumam</t>
  </si>
  <si>
    <t>What is your marital status?</t>
  </si>
  <si>
    <t>Married, monogamous</t>
  </si>
  <si>
    <t>Married, polygamous (incl. co-wife with polygamous husband)</t>
  </si>
  <si>
    <t xml:space="preserve">Widowed </t>
  </si>
  <si>
    <t xml:space="preserve">Divorced / Separated </t>
  </si>
  <si>
    <t xml:space="preserve">Cohabitating </t>
  </si>
  <si>
    <t>Never married and not cohabitating (Single)</t>
  </si>
  <si>
    <r>
      <rPr>
        <b/>
        <i/>
        <sz val="10"/>
        <rFont val="Times New Roman"/>
        <family val="1"/>
      </rPr>
      <t>Do not read aloud:</t>
    </r>
    <r>
      <rPr>
        <sz val="10"/>
        <rFont val="Times New Roman"/>
        <family val="1"/>
      </rPr>
      <t xml:space="preserve"> How would you assess the respondent's physical state at the end of the interview, compared to their state when the interview began?</t>
    </r>
  </si>
  <si>
    <t>Not tired or only slightly more tired than at the beginning</t>
  </si>
  <si>
    <t>Visibly more tired/sick</t>
  </si>
  <si>
    <t>Had to stop or pause interview because respondent significantly sick</t>
  </si>
  <si>
    <r>
      <rPr>
        <b/>
        <i/>
        <sz val="10"/>
        <rFont val="Times New Roman"/>
        <family val="1"/>
      </rPr>
      <t xml:space="preserve">Do not read aloud: </t>
    </r>
    <r>
      <rPr>
        <sz val="10"/>
        <rFont val="Times New Roman"/>
        <family val="1"/>
      </rPr>
      <t>Are you suspicious that this person was intoxicated during this interview?</t>
    </r>
  </si>
  <si>
    <t>No, completely sober</t>
  </si>
  <si>
    <t>A little bit intoxicated</t>
  </si>
  <si>
    <t>Somewhat intoxicated</t>
  </si>
  <si>
    <t>Totally intoxicated</t>
  </si>
  <si>
    <r>
      <rPr>
        <b/>
        <i/>
        <sz val="10"/>
        <rFont val="Times New Roman"/>
        <family val="1"/>
      </rPr>
      <t xml:space="preserve">Do not read aloud: </t>
    </r>
    <r>
      <rPr>
        <sz val="10"/>
        <rFont val="Times New Roman"/>
        <family val="1"/>
      </rPr>
      <t>How did this person’s thought process appear to you during the survey?</t>
    </r>
  </si>
  <si>
    <t>Logical and sensible</t>
  </si>
  <si>
    <t>A little unclear or confused</t>
  </si>
  <si>
    <t>Several times unclear or insensible</t>
  </si>
  <si>
    <t>Totally unclear or disoriented</t>
  </si>
  <si>
    <r>
      <rPr>
        <b/>
        <i/>
        <sz val="10"/>
        <rFont val="Times New Roman"/>
        <family val="1"/>
      </rPr>
      <t xml:space="preserve">Do not read aloud: </t>
    </r>
    <r>
      <rPr>
        <sz val="10"/>
        <rFont val="Times New Roman"/>
        <family val="1"/>
      </rPr>
      <t>How did this person’s emotional state appear to you during the survey?</t>
    </r>
  </si>
  <si>
    <t>Emotionally stable throughout interview</t>
  </si>
  <si>
    <t>Mostly stable but somewhat unstable at points</t>
  </si>
  <si>
    <t>Very emotional at times or throughout entire interview</t>
  </si>
  <si>
    <t>Showed inappropriate emotions (i.e., laughed when talking about atrocities)</t>
  </si>
  <si>
    <t>Showed no emotion at all</t>
  </si>
  <si>
    <r>
      <t>Was anyone present during the survey other than the respondent, the FO, and the TL?</t>
    </r>
    <r>
      <rPr>
        <i/>
        <sz val="10"/>
        <rFont val="Times New Roman"/>
        <family val="1"/>
      </rPr>
      <t xml:space="preserve"> (Do not count children under 5 years old)
</t>
    </r>
    <r>
      <rPr>
        <b/>
        <sz val="10"/>
        <rFont val="Times New Roman"/>
        <family val="1"/>
      </rPr>
      <t>CHECK ALL THAT APPLY</t>
    </r>
  </si>
  <si>
    <t>à</t>
  </si>
  <si>
    <t>Someone from the household/village/community</t>
  </si>
  <si>
    <t>Field Manager</t>
  </si>
  <si>
    <t>PA</t>
  </si>
  <si>
    <t>Other team member</t>
  </si>
  <si>
    <r>
      <t>Other (</t>
    </r>
    <r>
      <rPr>
        <sz val="8"/>
        <rFont val="Times New Roman"/>
        <family val="1"/>
      </rPr>
      <t>SPECIFY TITLE/RELATIONSHIP</t>
    </r>
    <r>
      <rPr>
        <sz val="10"/>
        <rFont val="Times New Roman"/>
        <family val="1"/>
      </rPr>
      <t>): [_________________________________]</t>
    </r>
  </si>
  <si>
    <t>If non-team members were present (i.e. someone from hh or community, why did the survey continue and the person was not evicted?</t>
  </si>
  <si>
    <t>Enumerator comments</t>
  </si>
  <si>
    <t xml:space="preserve">GPS Coordinates: </t>
  </si>
  <si>
    <t>N________________E__________________</t>
  </si>
  <si>
    <t xml:space="preserve">Yes </t>
  </si>
  <si>
    <t>Purchase of gas, fuel, charcoal  for non-transport related expense. (Cooking, lighting, generators etc.)</t>
  </si>
  <si>
    <t xml:space="preserve">A.  </t>
  </si>
  <si>
    <t>Domestic work, apart from fetching water</t>
  </si>
  <si>
    <t>Fetching water</t>
  </si>
  <si>
    <t xml:space="preserve">D.  </t>
  </si>
  <si>
    <t>Digging in your own garden (including cash crops)</t>
  </si>
  <si>
    <t>Digging in someone else’s garden</t>
  </si>
  <si>
    <t xml:space="preserve">F.  </t>
  </si>
  <si>
    <t>H.</t>
  </si>
  <si>
    <t>Working for someone as a casual laborer</t>
  </si>
  <si>
    <t>HH:MM</t>
  </si>
  <si>
    <r>
      <t xml:space="preserve">1. Yes
2. No </t>
    </r>
    <r>
      <rPr>
        <b/>
        <sz val="10"/>
        <rFont val="Times New Roman"/>
        <family val="1"/>
      </rPr>
      <t>→ Next Activity</t>
    </r>
  </si>
  <si>
    <t>I</t>
  </si>
  <si>
    <t>(i)</t>
  </si>
  <si>
    <t xml:space="preserve"> |__|__|:|__|__|</t>
  </si>
  <si>
    <t>(ii)</t>
  </si>
  <si>
    <t>(iii)</t>
  </si>
  <si>
    <t>(iv)</t>
  </si>
  <si>
    <t>(v)</t>
  </si>
  <si>
    <t>(vi)</t>
  </si>
  <si>
    <t>(vii)</t>
  </si>
  <si>
    <t>(viii)</t>
  </si>
  <si>
    <t>(ix)</t>
  </si>
  <si>
    <t>(x)</t>
  </si>
  <si>
    <t xml:space="preserve">No. </t>
  </si>
  <si>
    <t xml:space="preserve">Questions </t>
  </si>
  <si>
    <t xml:space="preserve">Skips </t>
  </si>
  <si>
    <t>Spouse</t>
  </si>
  <si>
    <t xml:space="preserve">Another person within the household </t>
  </si>
  <si>
    <t>Another person outside the household</t>
  </si>
  <si>
    <t>a. Specify name of owner, if not the respondent him/her self.</t>
  </si>
  <si>
    <t>Ateso</t>
  </si>
  <si>
    <t>Runyoro</t>
  </si>
  <si>
    <t>Luo</t>
  </si>
  <si>
    <t xml:space="preserve">Acholi </t>
  </si>
  <si>
    <t xml:space="preserve">Langi </t>
  </si>
  <si>
    <t xml:space="preserve">Alur </t>
  </si>
  <si>
    <t xml:space="preserve">English </t>
  </si>
  <si>
    <t>Swahili</t>
  </si>
  <si>
    <t>Luganda</t>
  </si>
  <si>
    <t>Runyankole</t>
  </si>
  <si>
    <t xml:space="preserve">Coding Categories </t>
  </si>
  <si>
    <t xml:space="preserve">Participated in vocational training </t>
  </si>
  <si>
    <t>Kerosene  / gas / petrol / paraffin (for lighting, cooking, generators)?</t>
  </si>
  <si>
    <t>Respondent</t>
  </si>
  <si>
    <t>A</t>
  </si>
  <si>
    <t>C</t>
  </si>
  <si>
    <t>D</t>
  </si>
  <si>
    <t>I.</t>
  </si>
  <si>
    <t xml:space="preserve">Attended formal education </t>
  </si>
  <si>
    <t xml:space="preserve">I. </t>
  </si>
  <si>
    <t xml:space="preserve">J. </t>
  </si>
  <si>
    <t>Costs of buying medication</t>
  </si>
  <si>
    <t xml:space="preserve">Fee of doctors consultation </t>
  </si>
  <si>
    <t xml:space="preserve">If YES, read:
How much did you pay in total?
</t>
  </si>
  <si>
    <t>Transport - matatus, buses and boda bodas?</t>
  </si>
  <si>
    <t>Electricity (for lighting and cooking)?</t>
  </si>
  <si>
    <t>a. Health care for yourself?</t>
  </si>
  <si>
    <t>a. Health care for someone else?</t>
  </si>
  <si>
    <t xml:space="preserve">Travel costs to get to/from health care facility </t>
  </si>
  <si>
    <t xml:space="preserve">b. What are these expenses for? </t>
  </si>
  <si>
    <t xml:space="preserve">c. What was the total amount for these expenses? </t>
  </si>
  <si>
    <t xml:space="preserve">d. For how many months does this amount cater? </t>
  </si>
  <si>
    <t>Lending Institution/ A bank</t>
  </si>
  <si>
    <t>Neighbor</t>
  </si>
  <si>
    <t>Phone number where the respondent can be reached?</t>
  </si>
  <si>
    <t>Outstanding payment for health care services</t>
  </si>
  <si>
    <r>
      <t>How much money are you still waiting to receive back from (</t>
    </r>
    <r>
      <rPr>
        <i/>
        <sz val="10"/>
        <rFont val="Times New Roman"/>
        <family val="1"/>
      </rPr>
      <t>name of borrower)</t>
    </r>
  </si>
  <si>
    <t>Soap (bar soap for bathing or washing and washing powder, Omo, Nomi)?</t>
  </si>
  <si>
    <t>Household cleaning products (soapdish,  toilet cleansers, steal wire or sponge ,etc.)?</t>
  </si>
  <si>
    <t xml:space="preserve">Maintenance or repair of machines, tools and business building or business vehicles </t>
  </si>
  <si>
    <t>How much money do you currently owe to:</t>
  </si>
  <si>
    <t>Relative or friend</t>
  </si>
  <si>
    <t>Put 0 if none</t>
  </si>
  <si>
    <t>Commercial Bank</t>
  </si>
  <si>
    <t>Savings group/cash box</t>
  </si>
  <si>
    <t>Moneylender</t>
  </si>
  <si>
    <t>NGO or religious organization</t>
  </si>
  <si>
    <t>Repay an advance payment for future work</t>
  </si>
  <si>
    <t>School fees</t>
  </si>
  <si>
    <t>Do you have any loans in-kind that you have not yet repaid, for example, a bag of millet that was borrowed?</t>
  </si>
  <si>
    <t>Water?</t>
  </si>
  <si>
    <t>Rent for house?</t>
  </si>
  <si>
    <t>b. If yes,  how much did you re-pay?</t>
  </si>
  <si>
    <t>QUESTIONS AND FILTERS &amp; CODES</t>
  </si>
  <si>
    <t>A.</t>
  </si>
  <si>
    <t>b. Does this person know that you belong to TASO?</t>
  </si>
  <si>
    <t>b. If a=YES, read:  What was the value of this consumption?</t>
  </si>
  <si>
    <t>Did you consume any roasted meats, chips, roasted maize, or other snacks prepared on charcoal outside of the household?</t>
  </si>
  <si>
    <t>Did you consume any sweets or ice cream outside of the household?</t>
  </si>
  <si>
    <t>Fee of seeing  a nurse/midwife, or other medical staff</t>
  </si>
  <si>
    <t>Lab/Test Costs</t>
  </si>
  <si>
    <r>
      <t xml:space="preserve">Costs for skills training/ vocational training for yourself.  </t>
    </r>
    <r>
      <rPr>
        <i/>
        <sz val="10"/>
        <rFont val="Times New Roman"/>
        <family val="1"/>
      </rPr>
      <t>(Include fees, books, uniform and transport to/from school)</t>
    </r>
  </si>
  <si>
    <r>
      <t xml:space="preserve">Do you raise any income by keeping animals ? </t>
    </r>
    <r>
      <rPr>
        <i/>
        <sz val="10"/>
        <rFont val="Times New Roman"/>
        <family val="1"/>
      </rPr>
      <t xml:space="preserve"> E.g. sold eggs from chickens or milk from cows, sold an animal for slaughter or breeding.</t>
    </r>
  </si>
  <si>
    <t xml:space="preserve">Purchase of stock for re-sale. </t>
  </si>
  <si>
    <t xml:space="preserve">Any other costs related to your business, for example security (e.g. guard or dog etc.) </t>
  </si>
  <si>
    <t xml:space="preserve">Number of Days
</t>
  </si>
  <si>
    <t xml:space="preserve"> </t>
  </si>
  <si>
    <r>
      <t>How much did you borrow from [</t>
    </r>
    <r>
      <rPr>
        <i/>
        <sz val="10"/>
        <rFont val="Times New Roman"/>
        <family val="1"/>
      </rPr>
      <t>Name of source of loan</t>
    </r>
    <r>
      <rPr>
        <sz val="10"/>
        <rFont val="Times New Roman"/>
        <family val="1"/>
      </rPr>
      <t xml:space="preserve">]? </t>
    </r>
  </si>
  <si>
    <t>Other :________</t>
  </si>
  <si>
    <t>M.</t>
  </si>
  <si>
    <t>Thank you for doing this interview with me. I will start by asking about some basic information about you.</t>
  </si>
  <si>
    <t xml:space="preserve">If phone number is different from before, ask: Previously you gave you phone number as __________. Has this phone number changed or is this an additional number? </t>
  </si>
  <si>
    <t>b. If a=YES, read:  How many days did you consume this item in the past seven days?</t>
  </si>
  <si>
    <t>In the past 4 weeks, was there ever no food to eat of any kind in your house because of lack of money or  resources to get food?</t>
  </si>
  <si>
    <t>How often did this happen in the past 4 weeks?</t>
  </si>
  <si>
    <r>
      <t>In the past 4 weeks, did you or any household member go to sleep at night hungry because there was not enough food? [</t>
    </r>
    <r>
      <rPr>
        <b/>
        <sz val="10"/>
        <rFont val="Times New Roman"/>
        <family val="1"/>
      </rPr>
      <t>This can be because they did not eat at all or because they did not eat enough.]</t>
    </r>
  </si>
  <si>
    <t>In the past 4 weeks, did you or any household member go a whole day and night without eating anything at all because there was not enough food?</t>
  </si>
  <si>
    <t>We would like to come back and do another interview with you again in three weeks time. Would this be ok?</t>
  </si>
  <si>
    <t>L.</t>
  </si>
  <si>
    <t>What TASO CDDP do you go to?</t>
  </si>
  <si>
    <t>b. If yes, what did you spend money on?
MARK ALL THAT APPLY</t>
  </si>
  <si>
    <t>If No→ Record corrected directions on the tracking sheet</t>
  </si>
  <si>
    <t xml:space="preserve">Are the directions to the respondent's household given in the tracking sheet accurate? </t>
  </si>
  <si>
    <t>I changed my number, the old one is no longer valid</t>
  </si>
  <si>
    <t>This is an additional number</t>
  </si>
  <si>
    <t>I never changed the number, this is the correct one</t>
  </si>
  <si>
    <t>→ A. 22</t>
  </si>
  <si>
    <t>What kind of business is this? (What sector does it belong to?)</t>
  </si>
  <si>
    <t>b. If yes. How much/ What was the value of the in-kind gift?</t>
  </si>
  <si>
    <t xml:space="preserve">DO NOT READ: In this part of the module we are only interested in recording the food that the respondent  (not the whole household) has consumed outside the household. </t>
  </si>
  <si>
    <t>Fuel for using own/household  vehicle?
IF NONE, PUT N/A</t>
  </si>
  <si>
    <t>Now, I would like to talk about money that you borrowed, also known as loans. We define loans as money you received that you have to repay. Loans can come from a formal source such as a bank or microfinance institution, or from an informal source such as a friend, relative or local savings group. These do not have to be big amounts -- even if it is just 1,000, please tell me. We want to talk about your loans, not of other people in your household, so please do not count those.</t>
  </si>
  <si>
    <t>If you had to repay these loans in cash right now, how much would you have to pay?</t>
  </si>
  <si>
    <t>Invest in other’s business or farm</t>
  </si>
  <si>
    <t>Other (use code)</t>
  </si>
  <si>
    <t>How much did you lend to (name of borrower)?</t>
  </si>
  <si>
    <t xml:space="preserve">If no, skip module </t>
  </si>
  <si>
    <t>Did you consume any wine, commercial beer, spirits, or local brews (including waragi) outside of the household?</t>
  </si>
  <si>
    <t>Water?
DO NOT COUNT water costs that are included in rent</t>
  </si>
  <si>
    <t>Electricity?
DO NOT COUNT electricity costs that are included in rent</t>
  </si>
  <si>
    <t>Donations/offetories/collection to  church/mosque, charity, beggars, etc.</t>
  </si>
  <si>
    <t>Unsure of specific purpose</t>
  </si>
  <si>
    <r>
      <t xml:space="preserve">Costs for agricultural improvements for crops for eating </t>
    </r>
    <r>
      <rPr>
        <i/>
        <sz val="10"/>
        <rFont val="Times New Roman"/>
        <family val="1"/>
      </rPr>
      <t xml:space="preserve">(Inlude fertilizer, seeds, etc)
</t>
    </r>
    <r>
      <rPr>
        <sz val="10"/>
        <rFont val="Times New Roman"/>
        <family val="1"/>
      </rPr>
      <t>DO NOT COUNT agricultural improvements/purchases for commercial farming</t>
    </r>
  </si>
  <si>
    <t>Hospitalization (i.e. getting admitted)</t>
  </si>
  <si>
    <t xml:space="preserve">Did you consume any full meals (breakfast, lunch, or dinner) outside of the household?
Please do not count meals that only contained tea and snacks. </t>
  </si>
  <si>
    <t xml:space="preserve">Did you consume tea, coffee, samosas, cake, bread, or other hotel snacks outside of the household?
Please do not count what has already been reported as a part of a full meal.
</t>
  </si>
  <si>
    <t>b. If yes, what did you spend money on? 
MARK ALL THAT APPLY</t>
  </si>
  <si>
    <t>D.24</t>
  </si>
  <si>
    <r>
      <rPr>
        <sz val="10"/>
        <rFont val="Cambria"/>
        <family val="1"/>
      </rPr>
      <t>→</t>
    </r>
    <r>
      <rPr>
        <sz val="9"/>
        <rFont val="Times New Roman"/>
        <family val="1"/>
      </rPr>
      <t>Next Section</t>
    </r>
  </si>
  <si>
    <t>Seasonally</t>
  </si>
  <si>
    <t>Hunting</t>
  </si>
  <si>
    <t>Taking care of (raising) your own animals</t>
  </si>
  <si>
    <t xml:space="preserve">L.  </t>
  </si>
  <si>
    <t>Working as a formal employee for somebody else (private firm, NGO, or religious organization) on regular basis</t>
  </si>
  <si>
    <t xml:space="preserve">M.   </t>
  </si>
  <si>
    <t>Working as a contractual employee or informal employee for somebody else (private firm, NGO, or religious organization)  on regular or semi-regular basis</t>
  </si>
  <si>
    <t xml:space="preserve">N. </t>
  </si>
  <si>
    <t xml:space="preserve">O. </t>
  </si>
  <si>
    <t>Working in your own business</t>
  </si>
  <si>
    <t>Occasionally selling  food, vegetables, or small items (not regular occurrence and not considering it a business)</t>
  </si>
  <si>
    <t>Working in a political position (LC1, etc.)</t>
  </si>
  <si>
    <t>P.</t>
  </si>
  <si>
    <t>Q.</t>
  </si>
  <si>
    <t>R.</t>
  </si>
  <si>
    <t>Searched for a job</t>
  </si>
  <si>
    <t xml:space="preserve">S.   </t>
  </si>
  <si>
    <t xml:space="preserve">Y. </t>
  </si>
  <si>
    <t>Leisure or luxury (e.g. travel, wedding costs)</t>
  </si>
  <si>
    <t>Asset purchase</t>
  </si>
  <si>
    <t>Land purchase</t>
  </si>
  <si>
    <t>School Fees/training</t>
  </si>
  <si>
    <t>Home/property improvement</t>
  </si>
  <si>
    <t>Health/medical costs</t>
  </si>
  <si>
    <t>Invest in someone else's business</t>
  </si>
  <si>
    <t>Invest in current business</t>
  </si>
  <si>
    <t xml:space="preserve">Start a business </t>
  </si>
  <si>
    <t>Pay off a loan</t>
  </si>
  <si>
    <t>Loan to someone else</t>
  </si>
  <si>
    <t>4.a.</t>
  </si>
  <si>
    <t>4.b.</t>
  </si>
  <si>
    <t>1.a</t>
  </si>
  <si>
    <t>1.b</t>
  </si>
  <si>
    <t>varname</t>
  </si>
  <si>
    <t>d6_electr</t>
  </si>
  <si>
    <t>d6_charcoal</t>
  </si>
  <si>
    <t>d8_gas</t>
  </si>
  <si>
    <t>d9_transport</t>
  </si>
  <si>
    <t>d10_fuel</t>
  </si>
  <si>
    <t>d11_cigarettes</t>
  </si>
  <si>
    <t>d12_soap</t>
  </si>
  <si>
    <t>d13_toiletpap</t>
  </si>
  <si>
    <t>d14_cosmetic</t>
  </si>
  <si>
    <t>d15_hhcleaning</t>
  </si>
  <si>
    <t>d17_itemrepair</t>
  </si>
  <si>
    <t>d16_homerepair</t>
  </si>
  <si>
    <t>d18_donations</t>
  </si>
  <si>
    <t>d19_funeral</t>
  </si>
  <si>
    <t>d20_newspaper</t>
  </si>
  <si>
    <t>d21_airtime</t>
  </si>
  <si>
    <t>d22_internet</t>
  </si>
  <si>
    <t>d24c_healthrelate</t>
  </si>
  <si>
    <t>d26_training</t>
  </si>
  <si>
    <t>d25_school</t>
  </si>
  <si>
    <t>d27_ag</t>
  </si>
  <si>
    <t>d28_other</t>
  </si>
  <si>
    <t>d29_other_item</t>
  </si>
  <si>
    <t>G</t>
  </si>
  <si>
    <t>How many different businesses do you own? If you sell different things from the same location, please count that as one business, not many.</t>
  </si>
  <si>
    <t>READ. Now I'd like to ask you some questions about how you earn money. I am not only interested in whether you have job with a paid salary or you run a big business. I want to know about all the different ways that you use to raise money, even if they are smaller amounts.</t>
  </si>
  <si>
    <t>g1_numbus</t>
  </si>
  <si>
    <t>g2_bustype</t>
  </si>
  <si>
    <t>g3_busact</t>
  </si>
  <si>
    <t>g5_soldcrops</t>
  </si>
  <si>
    <t>g6_husbandry</t>
  </si>
  <si>
    <t>Do you have any money-making activities other than farming and/or your business?</t>
  </si>
  <si>
    <t>K</t>
  </si>
  <si>
    <t>K.</t>
  </si>
  <si>
    <t>L</t>
  </si>
  <si>
    <t>m2_name</t>
  </si>
  <si>
    <t>m3_relation</t>
  </si>
  <si>
    <t>m4_amt</t>
  </si>
  <si>
    <t>m5_interest</t>
  </si>
  <si>
    <t>Weekly</t>
  </si>
  <si>
    <t>Twice a month</t>
  </si>
  <si>
    <t>Payments to employees and casual workers, including costs for salaries as well as daily allowances or meals (Do not include payments to yourself or other  owner(s))</t>
  </si>
  <si>
    <t>c. Do you pay rent weekly/monthly or seasonally?</t>
  </si>
  <si>
    <t>d. How much do you pay for a week/month/season [select appropriate]?</t>
  </si>
  <si>
    <t>b. How much did you  pay to Rent  land and/or building(s) for business during the past 3 weeks?</t>
  </si>
  <si>
    <t>Purchase of inputs for production in the past 3 weeks (include fertilizer here)</t>
  </si>
  <si>
    <t>Purchase of any new equipment in the past 3 weeks (Tools, machines or buildings)</t>
  </si>
  <si>
    <t xml:space="preserve">How much did this business make from sales of all products and services in the past 3 weeks? </t>
  </si>
  <si>
    <t>What were the profits of this business in the past 3 weeks? That is, how much did this business earn after paying all expenses except payments to yourself or other owners?</t>
  </si>
  <si>
    <t>e1a_rent_yn</t>
  </si>
  <si>
    <t>e1b_rent_amt</t>
  </si>
  <si>
    <t>e1c_ag_rent_pd</t>
  </si>
  <si>
    <t>e1d_ag_rent_amt</t>
  </si>
  <si>
    <t>e2a_electr_yn</t>
  </si>
  <si>
    <t>e2b_electr_incl</t>
  </si>
  <si>
    <t>e2c_electr_amt</t>
  </si>
  <si>
    <t>e3a_water_yn</t>
  </si>
  <si>
    <t>e3b_water_incl</t>
  </si>
  <si>
    <t>e3c_water_amt</t>
  </si>
  <si>
    <t>e4_inputs</t>
  </si>
  <si>
    <t>e5_equipment</t>
  </si>
  <si>
    <t>e6_repair</t>
  </si>
  <si>
    <t>e7_transport</t>
  </si>
  <si>
    <t>e8_labor</t>
  </si>
  <si>
    <t>e9_stock</t>
  </si>
  <si>
    <t>e10_airtime</t>
  </si>
  <si>
    <t>e11_garbage</t>
  </si>
  <si>
    <t>e12_loans</t>
  </si>
  <si>
    <t>e13_fuel</t>
  </si>
  <si>
    <t>e14_other</t>
  </si>
  <si>
    <t>e15d_major_pd</t>
  </si>
  <si>
    <t>e15c_major_amt</t>
  </si>
  <si>
    <t>e15b_major_specify</t>
  </si>
  <si>
    <t>e15a_majorcost</t>
  </si>
  <si>
    <t>e16_revenue</t>
  </si>
  <si>
    <t>e17_profit</t>
  </si>
  <si>
    <t>School fees, books, uniform, transport  to/from school, and other school costs for  children in your household
INSTRUCTIONS: Include other appropriate costs such as pocket money</t>
  </si>
  <si>
    <t>→ end survey</t>
  </si>
  <si>
    <t>No, other: [__________]</t>
  </si>
  <si>
    <t>How many loans have you taken out in the past 3 weeks?</t>
  </si>
  <si>
    <t xml:space="preserve"> In the past 3 weeks, have you given a loan to anybody, with the expectation that they pay you back? </t>
  </si>
  <si>
    <t>How many loans have you given out in the past 3 weeks?</t>
  </si>
  <si>
    <t xml:space="preserve">→ If suspicious, call TL and explain why you are suspicious. The TL will instruct you on next steps. </t>
  </si>
  <si>
    <t>→ If no,  ask to be allowed to interview the respondent alone. Stress that the interview is private and confidential. If there is no private spot available to conduct the interview, stop the interview and refer the case to the TL</t>
  </si>
  <si>
    <t>→ End survey and inform your TL</t>
  </si>
  <si>
    <t>Proceed with survey ONLY after reading/signing the Informed Consent.</t>
  </si>
  <si>
    <t>Did you purchase and consume any sodas, water, or other non-alcoholic drinks outside of the household?</t>
  </si>
  <si>
    <t>d4_rent_yn</t>
  </si>
  <si>
    <t>d4_rent_amt</t>
  </si>
  <si>
    <t>d5_water_yn</t>
  </si>
  <si>
    <t>d5_water_amt</t>
  </si>
  <si>
    <t>Is this an active business that you are currently running? Please tell me if you have sold the business, or not doing it this season or year, or stopped being involved in running it.</t>
  </si>
  <si>
    <t>Next bus.</t>
  </si>
  <si>
    <t>a. Do you currently have any savings in a bank account (including microfinance)? Some examples of banks and microfinance institutions are Centenary, Post Bank, FINCA, and Pride.</t>
  </si>
  <si>
    <r>
      <t xml:space="preserve">a. Do you currently have any savings in a SACCO? 
</t>
    </r>
    <r>
      <rPr>
        <b/>
        <i/>
        <sz val="10"/>
        <rFont val="Times New Roman"/>
        <family val="1"/>
      </rPr>
      <t>(A SACCO is a formal, registered savings group).</t>
    </r>
  </si>
  <si>
    <t>d1_monthrent_yn</t>
  </si>
  <si>
    <t>d1_monthrent_amt</t>
  </si>
  <si>
    <t>d2_monthwater_yn</t>
  </si>
  <si>
    <t>d2_monthwater_amt</t>
  </si>
  <si>
    <t>d3_monthelectr_yn</t>
  </si>
  <si>
    <t>d3_monthelectr_amt</t>
  </si>
  <si>
    <t>g4_farm_comm</t>
  </si>
  <si>
    <t>g7_business</t>
  </si>
  <si>
    <t>g11_money_act</t>
  </si>
  <si>
    <t>g12_money_code</t>
  </si>
  <si>
    <t>b. How much do you have saved with this bank/microfinance institution?</t>
  </si>
  <si>
    <t>b. How much do you have saved with this SACCO?</t>
  </si>
  <si>
    <t>b. How much do you have saved with this group?</t>
  </si>
  <si>
    <t>Are you saving for a specific purpose?</t>
  </si>
  <si>
    <t>a. In the last 3 weeks, did you or your household give  cash or in kind gift to someone outside the household?</t>
  </si>
  <si>
    <t>If yes, what are you saving for?
SELECT ALL THAT APPLY</t>
  </si>
  <si>
    <t>J.</t>
  </si>
  <si>
    <t>J. FOOD SECURITY</t>
  </si>
  <si>
    <t xml:space="preserve">I+K. Savings and Transfers </t>
  </si>
  <si>
    <t>j1_nofood</t>
  </si>
  <si>
    <t>j1_nofood_freq</t>
  </si>
  <si>
    <t>j2_sleephungry</t>
  </si>
  <si>
    <t>j2_sleephungry_freq</t>
  </si>
  <si>
    <t>j3_full_hunger</t>
  </si>
  <si>
    <t>j3_full_hunger_freq</t>
  </si>
  <si>
    <t>j4a_numpills</t>
  </si>
  <si>
    <t>j4b_misspill</t>
  </si>
  <si>
    <r>
      <rPr>
        <sz val="10"/>
        <color theme="1"/>
        <rFont val="Cambria"/>
        <family val="1"/>
      </rPr>
      <t>→</t>
    </r>
    <r>
      <rPr>
        <sz val="10"/>
        <color theme="1"/>
        <rFont val="Times New Roman"/>
        <family val="1"/>
      </rPr>
      <t xml:space="preserve">Set up a new appt.,  suggest the date. Note down the time and date for the appt. on an appt. card and note it in the tracking sheet </t>
    </r>
  </si>
  <si>
    <t>N.</t>
  </si>
  <si>
    <t>m1a_lend_yn</t>
  </si>
  <si>
    <t>m1b_lend_num</t>
  </si>
  <si>
    <t>X.</t>
  </si>
  <si>
    <t>m6_remain_amt</t>
  </si>
  <si>
    <t>d23a_healthresp_yn</t>
  </si>
  <si>
    <t>d23a_healthresp_amt</t>
  </si>
  <si>
    <t>d23b_healthresp_cat</t>
  </si>
  <si>
    <t>d24a_healthothers_yn</t>
  </si>
  <si>
    <t>d24a_healthothers_amt</t>
  </si>
  <si>
    <t>d24a_healthothers_cat</t>
  </si>
  <si>
    <t>d29_other_amt</t>
  </si>
  <si>
    <t xml:space="preserve">Funeral, wedding, and other celebration/ceremony contributions
</t>
  </si>
  <si>
    <t>Airtime or phone charging costs for personal use (either for calls or for data on the phone)?</t>
  </si>
  <si>
    <t>Do you pay any of the following on a monthly basis?</t>
  </si>
  <si>
    <t>c. How is the person that you paid health care services for related to you?
INSTRUCTION: Fill in the sentence "The person the respondent paid for is the respondent's _________"
MARK ALL THAT APPLY</t>
  </si>
  <si>
    <t xml:space="preserve"> |___|___|___|</t>
  </si>
  <si>
    <t>Yes, active</t>
  </si>
  <si>
    <t>No, not active</t>
  </si>
  <si>
    <t>Use Occupation Code: 
|__|__|</t>
  </si>
  <si>
    <t>Use business code: |___|___|</t>
  </si>
  <si>
    <t xml:space="preserve">E. Business Expenditure </t>
  </si>
  <si>
    <t>E.2</t>
  </si>
  <si>
    <t>E.3</t>
  </si>
  <si>
    <t>E.4</t>
  </si>
  <si>
    <t>E.16</t>
  </si>
  <si>
    <t>b. Is electricity included in the rent expenditure?</t>
  </si>
  <si>
    <t>b. Is water included in the rent expenditure?</t>
  </si>
  <si>
    <t>Payment for cleaning and garbage services</t>
  </si>
  <si>
    <t>Read: Now I’d like to ask you some questions about your savings. Please remember, the amounts you report do not have to be big -- even if it is 1,000 please tell me. Remember that everything that you tell me in this interview is confidential and will not be passed on to anyone outside the research team.</t>
  </si>
  <si>
    <t>I'd now like to talk about gifts that you have given or received.</t>
  </si>
  <si>
    <t>for other purposes or no specific purpose? (general spending)</t>
  </si>
  <si>
    <t>Have you taken out any loans (borrowed money) in the past 3 weeks?</t>
  </si>
  <si>
    <t>Other [___________]</t>
  </si>
  <si>
    <t>Other: [________________]</t>
  </si>
  <si>
    <t>Now I want to ask you about your medication. How many times a day [within 24 hours] are you supposed to take your ART pills?</t>
  </si>
  <si>
    <t xml:space="preserve">b. If YES, read:
How much do you pay per month
</t>
  </si>
  <si>
    <r>
      <rPr>
        <sz val="10"/>
        <rFont val="Times New Roman"/>
        <family val="1"/>
      </rPr>
      <t>Activity</t>
    </r>
    <r>
      <rPr>
        <b/>
        <i/>
        <sz val="10"/>
        <rFont val="Times New Roman"/>
        <family val="1"/>
      </rPr>
      <t xml:space="preserve">
(Use letter code above)</t>
    </r>
  </si>
  <si>
    <r>
      <t xml:space="preserve">In the past 7 days, how many days did you spend on </t>
    </r>
    <r>
      <rPr>
        <b/>
        <sz val="10"/>
        <rFont val="Times New Roman"/>
        <family val="1"/>
      </rPr>
      <t>[say activity]</t>
    </r>
    <r>
      <rPr>
        <sz val="10"/>
        <rFont val="Times New Roman"/>
        <family val="1"/>
      </rPr>
      <t>?</t>
    </r>
  </si>
  <si>
    <r>
      <t xml:space="preserve">How many </t>
    </r>
    <r>
      <rPr>
        <u/>
        <sz val="10"/>
        <rFont val="Times New Roman"/>
        <family val="1"/>
      </rPr>
      <t>total hours per day</t>
    </r>
    <r>
      <rPr>
        <b/>
        <sz val="10"/>
        <rFont val="Times New Roman"/>
        <family val="1"/>
      </rPr>
      <t xml:space="preserve"> on average</t>
    </r>
    <r>
      <rPr>
        <sz val="10"/>
        <rFont val="Times New Roman"/>
        <family val="1"/>
      </rPr>
      <t xml:space="preserve"> did you spend on  </t>
    </r>
    <r>
      <rPr>
        <b/>
        <sz val="10"/>
        <rFont val="Times New Roman"/>
        <family val="1"/>
      </rPr>
      <t>[say activity]</t>
    </r>
    <r>
      <rPr>
        <sz val="10"/>
        <rFont val="Times New Roman"/>
        <family val="1"/>
      </rPr>
      <t xml:space="preserve"> on the days you did the activity?
</t>
    </r>
    <r>
      <rPr>
        <b/>
        <i/>
        <sz val="10"/>
        <rFont val="Times New Roman"/>
        <family val="1"/>
      </rPr>
      <t xml:space="preserve">If respondent struggles with activities performed multiple times a day, help them add up </t>
    </r>
  </si>
  <si>
    <r>
      <t xml:space="preserve">Do you ever receive any income from this activity, </t>
    </r>
    <r>
      <rPr>
        <b/>
        <sz val="10"/>
        <rFont val="Times New Roman"/>
        <family val="1"/>
      </rPr>
      <t>in money or goods?</t>
    </r>
  </si>
  <si>
    <t>Z.</t>
  </si>
  <si>
    <t>Anywhere else we have not mentioned (for example, workplace, borrowing airtime) 
OTHER: [_________________]</t>
  </si>
  <si>
    <t>Is the location information (village, parish, etc.) given on the tracking sheet accurate?</t>
  </si>
  <si>
    <t>Wine, commercial beer, spirits or local brews (including waragi)</t>
  </si>
  <si>
    <t>If yes, what other money making activity are you doing?</t>
  </si>
  <si>
    <t>Monthly</t>
  </si>
  <si>
    <t>Expenditure on phone airtime, Internet and charging</t>
  </si>
  <si>
    <t>a. Did you pay for any other major non-monthly (annual/quarterly) business related expenses in the past 3 weeks? ( E.g. Tax payment, trading license or required licenses)</t>
  </si>
  <si>
    <t>Basic needs (Food, clothes, etc.)</t>
  </si>
  <si>
    <t>H. TIME USE</t>
  </si>
  <si>
    <t>H.1</t>
  </si>
  <si>
    <t>H.2.</t>
  </si>
  <si>
    <t>H.3.</t>
  </si>
  <si>
    <t>H.4.</t>
  </si>
  <si>
    <t>For any of the questions below, put -88 if "Refused", and -99 if "Don't Know"</t>
  </si>
  <si>
    <t>|__|,|__|__|__|,|__|__|__| UGX
-88. Refused         -99. Don't know</t>
  </si>
  <si>
    <t>|__||__|,|__|__|__|,|__|__|__| UGX
-88. Refused         -99. Don't know</t>
  </si>
  <si>
    <t xml:space="preserve">Personal products / cosmetics (for example: toothpaste, toothbrUGX, shampoo, razor blades, hair products, deodorant, perfume, make up, glycerin, skin creams)?
Do not include hair products purchased for business.
</t>
  </si>
  <si>
    <t>|__|,|__|__|__|,|__|__|__| UGX
-88. Refused         -99. Don't know</t>
  </si>
  <si>
    <t xml:space="preserve">Now we have finished talking about the possible monthly expenses. Now I want to ask you about purchases you made in the past 3 weeks. </t>
  </si>
  <si>
    <t>During the past 3 weeks, did you purchase or pay for any…?
IF IN KIND CONTRIBUTION: Help the respondent calculate the value of the contribution</t>
  </si>
  <si>
    <t>In the past 3 weeks, what else did you spend money on for personal and/or household  use, and how much did it cost?  
DO NOT READ: Mark "Yes" if respondent lists any items to record them.</t>
  </si>
  <si>
    <t>Rent for house?
INSTRUCTION: Make sure the house reported is used for dwelling and not for business</t>
  </si>
  <si>
    <t>a. Did you re-pay all or part of this debt in the past three weeks?</t>
  </si>
  <si>
    <t>a. In the last 3 weeks, did you re-pay any loans (a whole loan or part of a loan) that we have not yet talked about?</t>
  </si>
  <si>
    <t>b. If yes,  how much did you re-pay in total on these loans?</t>
  </si>
  <si>
    <t>Did the household consume the  following food items in the past 7 days? (within the household)</t>
  </si>
  <si>
    <t>In the last 3 weeks…</t>
  </si>
  <si>
    <t>Yearly</t>
  </si>
  <si>
    <t>How is the person/ institution you that borrowed money from related to you? 
INSTRUCTIONS: Fill in the following sentence: "The respondent is borrowing from his/her/a: _______."</t>
  </si>
  <si>
    <t>READ. I am now going to ask you questions about what you and your household have been eating in the past 7 days. I would like to ask you to be as precise as you possibly can. 
Before we talk about this, let us discuss what we mean by household in this survey, and who we should count as your household this time. By household throughout the survey we mean a group of persons who: 
--live together in the same dwelling or compound,
--recognize one person as the head, 
--share the same housekeeping arrangement and eat from the same pot,
--contribute financially and/or receive financial support from the household,
--and have lived in the household for at least 30 days consecutively or 60 days non consecutively in the last three months.</t>
  </si>
  <si>
    <t>If Yes→ A.18</t>
  </si>
  <si>
    <t xml:space="preserve">Please politely thank the respondent for the interview and provide then with information on how to reach us in case of questions. AFTER thanking the respondent and proceed to fill this out. </t>
  </si>
  <si>
    <t xml:space="preserve">insert warning </t>
  </si>
  <si>
    <t>insert warning</t>
  </si>
  <si>
    <t>Read: Now I’d like to ask you some questions about your food intake. It is very important for us to understand if your household experience any food shortages.
Please remember that your answers will not affect any assistance you or this community may receive.</t>
  </si>
  <si>
    <t>Instructions: I will be reading out different food groups to you. And, we will be discussing them one at the time. We will talk about all the food that you have eaten in the past 7days. But to make it easier, please don't tell me about all the foods you have had in one go, we will be discussing them one at the time.</t>
  </si>
  <si>
    <t>a. In the last 3 weeks, did you or your household receive any cash or in kind gift from someone outside the household? This can be from a person or an organization.</t>
  </si>
  <si>
    <t>Working as a formal employee for the government (incl. military)</t>
  </si>
  <si>
    <t>Working as a volunteer for a private firm, NGO or religoius organization, for example, as a CASA for TASO</t>
  </si>
  <si>
    <t>In the next set of question I will be asking about any loans that you might have given out in the past 3 weeks. (Record if the respondent has "lent out" money to a customers and record salary overdue, but do not record salary that is still expected.)</t>
  </si>
  <si>
    <r>
      <rPr>
        <b/>
        <sz val="10"/>
        <rFont val="Times New Roman"/>
        <family val="1"/>
      </rPr>
      <t xml:space="preserve">Do not read: </t>
    </r>
    <r>
      <rPr>
        <sz val="10"/>
        <rFont val="Times New Roman"/>
        <family val="1"/>
      </rPr>
      <t>Consent given?</t>
    </r>
  </si>
  <si>
    <r>
      <t xml:space="preserve">Respondent </t>
    </r>
    <r>
      <rPr>
        <b/>
        <sz val="10"/>
        <rFont val="Times New Roman"/>
        <family val="1"/>
      </rPr>
      <t>Surname</t>
    </r>
    <r>
      <rPr>
        <sz val="10"/>
        <rFont val="Times New Roman"/>
        <family val="1"/>
      </rPr>
      <t>:</t>
    </r>
  </si>
  <si>
    <r>
      <t xml:space="preserve">Do not read: </t>
    </r>
    <r>
      <rPr>
        <sz val="10"/>
        <rFont val="Times New Roman"/>
        <family val="1"/>
      </rPr>
      <t xml:space="preserve"> Is the interview being conducted with the interviewee alone (excepting survey staff)? (</t>
    </r>
    <r>
      <rPr>
        <b/>
        <sz val="10"/>
        <rFont val="Times New Roman"/>
        <family val="1"/>
      </rPr>
      <t>Children who are too young to understand the conversation can remain. All other children and adults must be asked to leave.)</t>
    </r>
  </si>
  <si>
    <r>
      <rPr>
        <b/>
        <i/>
        <sz val="10"/>
        <rFont val="Times New Roman"/>
        <family val="1"/>
      </rPr>
      <t>DO NOT READ:</t>
    </r>
    <r>
      <rPr>
        <i/>
        <sz val="10"/>
        <rFont val="Times New Roman"/>
        <family val="1"/>
      </rPr>
      <t xml:space="preserve"> It is important to record </t>
    </r>
    <r>
      <rPr>
        <b/>
        <i/>
        <sz val="10"/>
        <rFont val="Times New Roman"/>
        <family val="1"/>
      </rPr>
      <t>exactly</t>
    </r>
    <r>
      <rPr>
        <i/>
        <sz val="10"/>
        <rFont val="Times New Roman"/>
        <family val="1"/>
      </rPr>
      <t xml:space="preserve"> what the respondent has been eating and what the respondent has bought and paid for. This module is not about approximations! It is also important to remember that this is for the whole household.</t>
    </r>
  </si>
  <si>
    <r>
      <rPr>
        <sz val="10"/>
        <rFont val="Times New Roman"/>
        <family val="1"/>
      </rPr>
      <t xml:space="preserve">Cereals, grains, and cereal products?       </t>
    </r>
    <r>
      <rPr>
        <i/>
        <sz val="10"/>
        <rFont val="Times New Roman"/>
        <family val="1"/>
      </rPr>
      <t xml:space="preserve">                                        (maize grain/flour/ posho; green maize; rice; finger millet; pearl millet; sorghum; wheat flour; bread; pasta; other cereal)</t>
    </r>
  </si>
  <si>
    <r>
      <rPr>
        <sz val="10"/>
        <rFont val="Times New Roman"/>
        <family val="1"/>
      </rPr>
      <t>Roots, tubers, and matooke</t>
    </r>
    <r>
      <rPr>
        <i/>
        <sz val="10"/>
        <rFont val="Times New Roman"/>
        <family val="1"/>
      </rPr>
      <t xml:space="preserve">
(cassava tuber/flour; sweet potato; Irish potato; other tuber/plantain/matooke)</t>
    </r>
  </si>
  <si>
    <r>
      <rPr>
        <sz val="10"/>
        <rFont val="Times New Roman"/>
        <family val="1"/>
      </rPr>
      <t>Nuts and pulses</t>
    </r>
    <r>
      <rPr>
        <i/>
        <sz val="10"/>
        <rFont val="Times New Roman"/>
        <family val="1"/>
      </rPr>
      <t xml:space="preserve">
(bean; pigeon pea; groundnut; green bean; cow pea; other nut/pulse)</t>
    </r>
  </si>
  <si>
    <r>
      <rPr>
        <sz val="10"/>
        <rFont val="Times New Roman"/>
        <family val="1"/>
      </rPr>
      <t>Vegetables</t>
    </r>
    <r>
      <rPr>
        <i/>
        <sz val="10"/>
        <rFont val="Times New Roman"/>
        <family val="1"/>
      </rPr>
      <t xml:space="preserve">
(onion; onion leaves; cabbage; wild green leaves; tomato; dodo; cucumber; other vegetables/leaves)</t>
    </r>
  </si>
  <si>
    <r>
      <rPr>
        <sz val="10"/>
        <rFont val="Times New Roman"/>
        <family val="1"/>
      </rPr>
      <t xml:space="preserve">Meat, fish and animal products
</t>
    </r>
    <r>
      <rPr>
        <i/>
        <sz val="10"/>
        <rFont val="Times New Roman"/>
        <family val="1"/>
      </rPr>
      <t>(egg; dried/fresh/smoked fish; beef; goat meat; pork; poultry; other meat)</t>
    </r>
  </si>
  <si>
    <r>
      <rPr>
        <sz val="10"/>
        <rFont val="Times New Roman"/>
        <family val="1"/>
      </rPr>
      <t xml:space="preserve">Fruits
</t>
    </r>
    <r>
      <rPr>
        <i/>
        <sz val="10"/>
        <rFont val="Times New Roman"/>
        <family val="1"/>
      </rPr>
      <t>(mango; banana; citrus; pineapple; papayas avocado; apple; other fruit)</t>
    </r>
  </si>
  <si>
    <r>
      <rPr>
        <sz val="10"/>
        <rFont val="Times New Roman"/>
        <family val="1"/>
      </rPr>
      <t xml:space="preserve">Milk/milk products
</t>
    </r>
    <r>
      <rPr>
        <i/>
        <sz val="10"/>
        <rFont val="Times New Roman"/>
        <family val="1"/>
      </rPr>
      <t>(fresh/powdered/soured milk; yoghurt; cheese; other milk product - excluding margarine/butter or small amounts of milk for tea/coffee)</t>
    </r>
  </si>
  <si>
    <r>
      <rPr>
        <sz val="10"/>
        <rFont val="Times New Roman"/>
        <family val="1"/>
      </rPr>
      <t xml:space="preserve">Fats/oil
</t>
    </r>
    <r>
      <rPr>
        <i/>
        <sz val="10"/>
        <rFont val="Times New Roman"/>
        <family val="1"/>
      </rPr>
      <t>(cooking oil; butter; margarine; kimbo; other fat/oil)</t>
    </r>
  </si>
  <si>
    <r>
      <t xml:space="preserve">Sugar/sugar products/honey
</t>
    </r>
    <r>
      <rPr>
        <i/>
        <sz val="10"/>
        <rFont val="Times New Roman"/>
        <family val="1"/>
      </rPr>
      <t>(sugar; sugar cane; honey; jam; jelly; sweets/candy/chocolate; other sugar product)</t>
    </r>
  </si>
  <si>
    <r>
      <rPr>
        <sz val="10"/>
        <rFont val="Times New Roman"/>
        <family val="1"/>
      </rPr>
      <t>Spices</t>
    </r>
    <r>
      <rPr>
        <i/>
        <sz val="10"/>
        <rFont val="Times New Roman"/>
        <family val="1"/>
      </rPr>
      <t xml:space="preserve">
(tea; coffee/cocoa/milo; </t>
    </r>
    <r>
      <rPr>
        <b/>
        <i/>
        <sz val="10"/>
        <rFont val="Times New Roman"/>
        <family val="1"/>
      </rPr>
      <t>salt;</t>
    </r>
    <r>
      <rPr>
        <i/>
        <sz val="10"/>
        <rFont val="Times New Roman"/>
        <family val="1"/>
      </rPr>
      <t xml:space="preserve"> spices; yeast/baking powder; tomato sauce, hot sauce; fish powder/sauce; other condiment - including small amounts of milk for tea/coffee)</t>
    </r>
  </si>
  <si>
    <r>
      <t>Sodas or other non-alcoholic drinks.</t>
    </r>
    <r>
      <rPr>
        <i/>
        <sz val="10"/>
        <rFont val="Times New Roman"/>
        <family val="1"/>
      </rPr>
      <t xml:space="preserve"> E.g. juice but not water</t>
    </r>
  </si>
  <si>
    <r>
      <t>Repairs, maintenance or improvements to home / dwelling.</t>
    </r>
    <r>
      <rPr>
        <i/>
        <sz val="10"/>
        <rFont val="Times New Roman"/>
        <family val="1"/>
      </rPr>
      <t xml:space="preserve"> (Buildings on their compound, e.g. house, latrine, fence etc.)</t>
    </r>
  </si>
  <si>
    <r>
      <t xml:space="preserve">Repairs to household and personal items </t>
    </r>
    <r>
      <rPr>
        <i/>
        <sz val="10"/>
        <rFont val="Times New Roman"/>
        <family val="1"/>
      </rPr>
      <t>(e.g. phone, Jerri can, shoes, saucepans, bike, clothes)</t>
    </r>
  </si>
  <si>
    <r>
      <t xml:space="preserve">Internet use </t>
    </r>
    <r>
      <rPr>
        <i/>
        <sz val="10"/>
        <rFont val="Times New Roman"/>
        <family val="1"/>
      </rPr>
      <t>(Do not include internet- time received from promotion codes or data used on phones)</t>
    </r>
  </si>
  <si>
    <r>
      <t xml:space="preserve">I would now like to ask you about  expenses for business that you have had and how much they were for the past </t>
    </r>
    <r>
      <rPr>
        <b/>
        <sz val="10"/>
        <rFont val="Times New Roman"/>
        <family val="1"/>
      </rPr>
      <t>3 weeks</t>
    </r>
    <r>
      <rPr>
        <sz val="10"/>
        <rFont val="Times New Roman"/>
        <family val="1"/>
      </rPr>
      <t xml:space="preserve">. By expenses, I mean all costs or bills that you pay in order to run any business, including agricultural business. </t>
    </r>
  </si>
  <si>
    <r>
      <t xml:space="preserve">a. Do you currently participate in a savings group or ASCA/VSLA?
</t>
    </r>
    <r>
      <rPr>
        <b/>
        <i/>
        <sz val="10"/>
        <rFont val="Times New Roman"/>
        <family val="1"/>
      </rPr>
      <t xml:space="preserve">(A VSLA is an informal village savings group). </t>
    </r>
  </si>
  <si>
    <r>
      <t xml:space="preserve">How much money do you have saved in other locations, apart from banks, SACCO, VSLAs and other places we've already mentioned? Just to clarify, these savings do not have to be in a formal account or formal institution. They can be somewhere at home, hidden in a safe place, with a friend or a relative or in a mobile money account. This can be a small or large amount of money. 
Please remember that this interview is confidential and will be used only for research purposes. Your answer will not affect any kind of benefits.
</t>
    </r>
    <r>
      <rPr>
        <b/>
        <i/>
        <sz val="10"/>
        <rFont val="Times New Roman"/>
        <family val="1"/>
      </rPr>
      <t>(Please probe. If none, put 0)</t>
    </r>
  </si>
  <si>
    <r>
      <t xml:space="preserve">What is the main thing that you used the money from </t>
    </r>
    <r>
      <rPr>
        <i/>
        <sz val="10"/>
        <rFont val="Times New Roman"/>
        <family val="1"/>
      </rPr>
      <t>(Name of source of loan</t>
    </r>
    <r>
      <rPr>
        <sz val="10"/>
        <rFont val="Times New Roman"/>
        <family val="1"/>
      </rPr>
      <t>) for?</t>
    </r>
  </si>
  <si>
    <r>
      <t xml:space="preserve">If No </t>
    </r>
    <r>
      <rPr>
        <sz val="10"/>
        <rFont val="Cambria"/>
        <family val="1"/>
      </rPr>
      <t>→</t>
    </r>
    <r>
      <rPr>
        <sz val="10"/>
        <rFont val="Times New Roman"/>
        <family val="1"/>
      </rPr>
      <t>next debt</t>
    </r>
  </si>
  <si>
    <r>
      <t xml:space="preserve">If No </t>
    </r>
    <r>
      <rPr>
        <sz val="10"/>
        <rFont val="Cambria"/>
        <family val="1"/>
      </rPr>
      <t>→</t>
    </r>
    <r>
      <rPr>
        <sz val="10"/>
        <rFont val="Times New Roman"/>
        <family val="1"/>
      </rPr>
      <t>next sect.</t>
    </r>
  </si>
  <si>
    <t>TASO fee</t>
  </si>
  <si>
    <t xml:space="preserve">Dental service </t>
  </si>
  <si>
    <t>Landloard/Landowner</t>
  </si>
  <si>
    <t>Teleoperator (airtime loan)</t>
  </si>
  <si>
    <t>Pay for emergency (not health related)</t>
  </si>
  <si>
    <t xml:space="preserve">Transport </t>
  </si>
  <si>
    <t>Re-pay debt</t>
  </si>
  <si>
    <t>Customer</t>
  </si>
  <si>
    <t>F</t>
  </si>
  <si>
    <t>f1_changeyn</t>
  </si>
  <si>
    <r>
      <rPr>
        <b/>
        <sz val="10"/>
        <rFont val="Times New Roman"/>
        <family val="1"/>
      </rPr>
      <t xml:space="preserve">If yes: </t>
    </r>
    <r>
      <rPr>
        <sz val="10"/>
        <rFont val="Times New Roman"/>
        <family val="1"/>
      </rPr>
      <t>How are you planning of changing the way that you generate your income?
CHECK ALL THAT APPLY</t>
    </r>
  </si>
  <si>
    <t>Start a new business (non-agricultural or agricultural)</t>
  </si>
  <si>
    <t>f2_changehow</t>
  </si>
  <si>
    <t>Expand my business in size or into new areas, or improve operations or products/services</t>
  </si>
  <si>
    <t>Shrink  my business or close it</t>
  </si>
  <si>
    <t>Work more or expect an INCREASE in pay</t>
  </si>
  <si>
    <t>Work less or expect a DECREASE in pay because of change in job</t>
  </si>
  <si>
    <t>Work as a casual labourer</t>
  </si>
  <si>
    <t xml:space="preserve">Change to another job </t>
  </si>
  <si>
    <t>Other:____________________</t>
  </si>
  <si>
    <r>
      <t xml:space="preserve">Are you currently planning to start a business, including any self-employment or selling any goods or services to others </t>
    </r>
    <r>
      <rPr>
        <b/>
        <sz val="10"/>
        <rFont val="Times New Roman"/>
        <family val="1"/>
      </rPr>
      <t>in the next 3 months</t>
    </r>
    <r>
      <rPr>
        <sz val="10"/>
        <rFont val="Times New Roman"/>
        <family val="1"/>
      </rPr>
      <t>? This can be alone, with someone from your household, or with a partner.</t>
    </r>
  </si>
  <si>
    <t>f3_business</t>
  </si>
  <si>
    <t>How many different businesses are you planning to start in the next 3 months? If you are planning to sell different products from the same site, please only count that as one business.</t>
  </si>
  <si>
    <t>f4_busnum</t>
  </si>
  <si>
    <t>f5_busexpand</t>
  </si>
  <si>
    <t>EXISTING BUSINESS (AG and NON-AG)</t>
  </si>
  <si>
    <t>What expansions or investments to your business are you planning in the next 3 months?
CHECK ALL THAT APPLY</t>
  </si>
  <si>
    <t>Increasing quantities of existing products/services</t>
  </si>
  <si>
    <t>f14_expans</t>
  </si>
  <si>
    <t>Introducing new (or expanding variety of ) products/services</t>
  </si>
  <si>
    <t>Introducing/improving/increasing inputs (e.g. fertilizer or seed purchase)</t>
  </si>
  <si>
    <t>Changing nature of business</t>
  </si>
  <si>
    <t>Purchasing equipment or assets</t>
  </si>
  <si>
    <t>Changing location/Opening additional locations/widening market</t>
  </si>
  <si>
    <t>Renting/purchasing new space</t>
  </si>
  <si>
    <t>Hiring additional employees or increasing hours/pay</t>
  </si>
  <si>
    <t>Training for self or employees</t>
  </si>
  <si>
    <t>Registering business formally</t>
  </si>
  <si>
    <t>Improving security</t>
  </si>
  <si>
    <t>Advertising</t>
  </si>
  <si>
    <t>Renovation/Decoration/Rebranding/Improving packaging</t>
  </si>
  <si>
    <t>Other:_______________</t>
  </si>
  <si>
    <t>How are you raising money for this investment?
CHECK ALL THAT APPLY</t>
  </si>
  <si>
    <t>I have enough money saved</t>
  </si>
  <si>
    <t>f15_fundexpans</t>
  </si>
  <si>
    <t>I am raising money through the business (incl. selling crops )</t>
  </si>
  <si>
    <t>I am saving money from earnings outside the business</t>
  </si>
  <si>
    <t>Loan from bank or microfinance institution</t>
  </si>
  <si>
    <t>Loan from SACCO</t>
  </si>
  <si>
    <t>Loan from savings group/VSLA</t>
  </si>
  <si>
    <t xml:space="preserve">Loan from an NGO, a church or other religious institution </t>
  </si>
  <si>
    <t>Loan from spouse</t>
  </si>
  <si>
    <t>Loan from another person within HH</t>
  </si>
  <si>
    <t>Loan from relatives or friends</t>
  </si>
  <si>
    <t>Money lender</t>
  </si>
  <si>
    <t>Expected or received grant from TASO</t>
  </si>
  <si>
    <t xml:space="preserve">Expected or received grant from an NGO other than TASO, a church or other religious institution </t>
  </si>
  <si>
    <t>Planning to sell an asset/land</t>
  </si>
  <si>
    <t>Gift from relatives or friends</t>
  </si>
  <si>
    <t>Business partner</t>
  </si>
  <si>
    <t>I do not have a plan to raise the money yet</t>
  </si>
  <si>
    <t xml:space="preserve">Salary from current job </t>
  </si>
  <si>
    <t>NEW BUSINESS</t>
  </si>
  <si>
    <t>Now I want to talk about the main business you are planning to start in the next three months. So, if you are planning to start more than one business, please select the most important one to you to answer the following questions.</t>
  </si>
  <si>
    <t>What kind of business are you planning to start? (What sector does it belong to?)</t>
  </si>
  <si>
    <t>Use code:    |___|___|___|</t>
  </si>
  <si>
    <t>f6_bustype</t>
  </si>
  <si>
    <t>When are you planning to start this business?</t>
  </si>
  <si>
    <t>In the coming month</t>
  </si>
  <si>
    <t>f7_when</t>
  </si>
  <si>
    <t>In the next 2-3 months</t>
  </si>
  <si>
    <t>More than 3 months from now</t>
  </si>
  <si>
    <t>How did you learn to run this new business?</t>
  </si>
  <si>
    <t xml:space="preserve">Parents taught me </t>
  </si>
  <si>
    <t>f8_know</t>
  </si>
  <si>
    <t xml:space="preserve">Friend taught me </t>
  </si>
  <si>
    <t xml:space="preserve">Relatives taught me </t>
  </si>
  <si>
    <t>Self taught</t>
  </si>
  <si>
    <t xml:space="preserve">Taught  through program/project by NGO or church </t>
  </si>
  <si>
    <t xml:space="preserve">Taught through vocational Training </t>
  </si>
  <si>
    <t xml:space="preserve">Taught through  formal education </t>
  </si>
  <si>
    <t>Common knowledge</t>
  </si>
  <si>
    <t>Has not yet learned how to run the business</t>
  </si>
  <si>
    <t>Other:______________</t>
  </si>
  <si>
    <t>Over the past 6 months have you done anything to  help start this new business? (for examples: looking for equipment, a location or organize staff)</t>
  </si>
  <si>
    <t>f9_prepyn</t>
  </si>
  <si>
    <t>Worked on a business plan</t>
  </si>
  <si>
    <t>f10_prepsteps</t>
  </si>
  <si>
    <t xml:space="preserve">Saved money </t>
  </si>
  <si>
    <t>Applied for a loan</t>
  </si>
  <si>
    <t xml:space="preserve">Looked for equipment </t>
  </si>
  <si>
    <t>Purchased equipment</t>
  </si>
  <si>
    <t>Looked for inputs or supplies</t>
  </si>
  <si>
    <t>Purchased inputs or supplies</t>
  </si>
  <si>
    <t>Looked for/identified location for business</t>
  </si>
  <si>
    <t>Rented/purchased location</t>
  </si>
  <si>
    <t>Looked for staff</t>
  </si>
  <si>
    <t xml:space="preserve">Hired staff </t>
  </si>
  <si>
    <t>Trained myself or others</t>
  </si>
  <si>
    <t>Other:_____</t>
  </si>
  <si>
    <t>Respondent is very knowledgeable: gives exhaustive list of inputs confidently</t>
  </si>
  <si>
    <t>f11_inputs</t>
  </si>
  <si>
    <t>Respondent is knowledgeable: gives a partial list</t>
  </si>
  <si>
    <t>Respondent struggles to provide even a partial answer</t>
  </si>
  <si>
    <t>Respondent does not know any inputs</t>
  </si>
  <si>
    <t>a. Will you be hiring people to help you run this business?</t>
  </si>
  <si>
    <t>f12a_hire</t>
  </si>
  <si>
    <t>b. How many people will you be hiring to help you run this business?</t>
  </si>
  <si>
    <t>f12b_hirenum</t>
  </si>
  <si>
    <t>|__|,|__|__|__|, |__|__|__| UGX</t>
  </si>
  <si>
    <t>f13_profits</t>
  </si>
  <si>
    <t>PERSONAL INVESTMENTS</t>
  </si>
  <si>
    <r>
      <t xml:space="preserve">Are you planning to make any  personal investments </t>
    </r>
    <r>
      <rPr>
        <b/>
        <sz val="10"/>
        <rFont val="Times New Roman"/>
        <family val="1"/>
      </rPr>
      <t>in the next 3 months</t>
    </r>
    <r>
      <rPr>
        <sz val="10"/>
        <rFont val="Times New Roman"/>
        <family val="1"/>
      </rPr>
      <t>?</t>
    </r>
  </si>
  <si>
    <t>f16_persinvest</t>
  </si>
  <si>
    <t>b. If yes, what type of investment is it?
CHECK ALL THAT APPLY
INSTRUCTIONS: Once the investment is reported, probe until it is clear what category it fits best.</t>
  </si>
  <si>
    <t>Saving</t>
  </si>
  <si>
    <t>f17_investtype</t>
  </si>
  <si>
    <t>Repaying loans</t>
  </si>
  <si>
    <t>Education</t>
  </si>
  <si>
    <t>Healthcare</t>
  </si>
  <si>
    <t>Dwelling improvements (constructing or improving )</t>
  </si>
  <si>
    <t>Buying/repairing an asset or land</t>
  </si>
  <si>
    <t xml:space="preserve">Buying clothes or shoes </t>
  </si>
  <si>
    <t>Other:_________________________</t>
  </si>
  <si>
    <t>f18_investfund</t>
  </si>
  <si>
    <t>I have some money saved and/or plan to start/continue saving</t>
  </si>
  <si>
    <t>Loan from relatives or friends outside the HH</t>
  </si>
  <si>
    <t>Salary from current job</t>
  </si>
  <si>
    <t>B. BASIC INFORMATION</t>
  </si>
  <si>
    <t xml:space="preserve"> |  __ | __ |</t>
  </si>
  <si>
    <t>Respondent gave exact age</t>
  </si>
  <si>
    <t>Had to estimate based on known events</t>
  </si>
  <si>
    <t>Was not able to estimate, but respondent most likely within eligible age range</t>
  </si>
  <si>
    <t>Was not able to estimate, but respondent most likely OUTSIDE eligible age range</t>
  </si>
  <si>
    <t>Do you know your date of birth?</t>
  </si>
  <si>
    <t>Respondent knows exact date</t>
  </si>
  <si>
    <t xml:space="preserve">→ 3.b. </t>
  </si>
  <si>
    <t>IF NOT: Do you know your year of birth?</t>
  </si>
  <si>
    <t>Respondent knows exact year, but not date</t>
  </si>
  <si>
    <t xml:space="preserve">→ 3.c. </t>
  </si>
  <si>
    <t>IF NOT: In that case, let us try to estimate when you were born based on events that happened in Uganda at that time.</t>
  </si>
  <si>
    <t>Respondent can approximate year, but is not sure about it</t>
  </si>
  <si>
    <t>Year had to be estimated based on known events</t>
  </si>
  <si>
    <t>What date were you born?</t>
  </si>
  <si>
    <t>If asked 3.b→ 4</t>
  </si>
  <si>
    <t>3.c.</t>
  </si>
  <si>
    <t xml:space="preserve">What year were you born?
</t>
  </si>
  <si>
    <t>What is your tribe?</t>
  </si>
  <si>
    <t>Acholi</t>
  </si>
  <si>
    <t>Alur</t>
  </si>
  <si>
    <t>Bafumbira</t>
  </si>
  <si>
    <t>Baganda</t>
  </si>
  <si>
    <t>Bagungu</t>
  </si>
  <si>
    <t>Bakiga</t>
  </si>
  <si>
    <t>Banyakole</t>
  </si>
  <si>
    <t>Banyarwanda</t>
  </si>
  <si>
    <t>Banyoro</t>
  </si>
  <si>
    <t>Baruli</t>
  </si>
  <si>
    <t>Batoro</t>
  </si>
  <si>
    <t>Iteso</t>
  </si>
  <si>
    <t>Japadhola</t>
  </si>
  <si>
    <t>Langi</t>
  </si>
  <si>
    <t>What is your religion?</t>
  </si>
  <si>
    <t>Catholicism</t>
  </si>
  <si>
    <t>Protestantism/Anglicanism/Church of Uganda</t>
  </si>
  <si>
    <t>Born Again/Pentecostalism/Savedee</t>
  </si>
  <si>
    <t>Islam</t>
  </si>
  <si>
    <t>Abikiriza/Faith of Unity</t>
  </si>
  <si>
    <t>Traditional religion</t>
  </si>
  <si>
    <t>Hinduism</t>
  </si>
  <si>
    <t>Non-religious/atheist</t>
  </si>
  <si>
    <t>Other Christianity (Baptist, Seventh Day Adventist, Mormon, Orthodox, Jehova's Witness, etc)</t>
  </si>
  <si>
    <t>THE SURVEY</t>
  </si>
  <si>
    <t>Sections in the Midline Survey</t>
  </si>
  <si>
    <r>
      <t>A.</t>
    </r>
    <r>
      <rPr>
        <sz val="7"/>
        <color theme="1"/>
        <rFont val="Times New Roman"/>
        <family val="1"/>
      </rPr>
      <t xml:space="preserve">      </t>
    </r>
    <r>
      <rPr>
        <sz val="11"/>
        <color theme="1"/>
        <rFont val="Cambria"/>
        <family val="1"/>
      </rPr>
      <t>Introduction</t>
    </r>
  </si>
  <si>
    <r>
      <t>B.</t>
    </r>
    <r>
      <rPr>
        <sz val="7"/>
        <color theme="1"/>
        <rFont val="Times New Roman"/>
        <family val="1"/>
      </rPr>
      <t xml:space="preserve">      </t>
    </r>
    <r>
      <rPr>
        <sz val="11"/>
        <color theme="1"/>
        <rFont val="Cambria"/>
        <family val="1"/>
      </rPr>
      <t xml:space="preserve">Basic Information </t>
    </r>
  </si>
  <si>
    <r>
      <t>C.</t>
    </r>
    <r>
      <rPr>
        <sz val="7"/>
        <color theme="1"/>
        <rFont val="Times New Roman"/>
        <family val="1"/>
      </rPr>
      <t xml:space="preserve">       </t>
    </r>
    <r>
      <rPr>
        <sz val="11"/>
        <color theme="1"/>
        <rFont val="Cambria"/>
        <family val="1"/>
      </rPr>
      <t xml:space="preserve">Food  Expenditures </t>
    </r>
  </si>
  <si>
    <r>
      <t>D.</t>
    </r>
    <r>
      <rPr>
        <sz val="7"/>
        <color theme="1"/>
        <rFont val="Times New Roman"/>
        <family val="1"/>
      </rPr>
      <t xml:space="preserve">      </t>
    </r>
    <r>
      <rPr>
        <sz val="11"/>
        <color theme="1"/>
        <rFont val="Cambria"/>
        <family val="1"/>
      </rPr>
      <t xml:space="preserve">Non – Food Expenditure </t>
    </r>
  </si>
  <si>
    <r>
      <t>G.</t>
    </r>
    <r>
      <rPr>
        <sz val="7"/>
        <color theme="1"/>
        <rFont val="Times New Roman"/>
        <family val="1"/>
      </rPr>
      <t xml:space="preserve">      </t>
    </r>
    <r>
      <rPr>
        <sz val="11"/>
        <color theme="1"/>
        <rFont val="Cambria"/>
        <family val="1"/>
      </rPr>
      <t>Income</t>
    </r>
  </si>
  <si>
    <r>
      <t>E.</t>
    </r>
    <r>
      <rPr>
        <sz val="7"/>
        <color theme="1"/>
        <rFont val="Times New Roman"/>
        <family val="1"/>
      </rPr>
      <t xml:space="preserve">      </t>
    </r>
    <r>
      <rPr>
        <sz val="11"/>
        <color theme="1"/>
        <rFont val="Cambria"/>
        <family val="1"/>
      </rPr>
      <t xml:space="preserve">Business Expenditure </t>
    </r>
  </si>
  <si>
    <r>
      <t>F.</t>
    </r>
    <r>
      <rPr>
        <i/>
        <sz val="7"/>
        <color theme="1"/>
        <rFont val="Times New Roman"/>
        <family val="1"/>
      </rPr>
      <t xml:space="preserve">       </t>
    </r>
    <r>
      <rPr>
        <i/>
        <sz val="11"/>
        <color theme="1"/>
        <rFont val="Cambria"/>
        <family val="1"/>
      </rPr>
      <t>Plans (ML1 &amp; ML3)</t>
    </r>
  </si>
  <si>
    <r>
      <t>H.</t>
    </r>
    <r>
      <rPr>
        <sz val="7"/>
        <color theme="1"/>
        <rFont val="Times New Roman"/>
        <family val="1"/>
      </rPr>
      <t xml:space="preserve">      </t>
    </r>
    <r>
      <rPr>
        <sz val="11"/>
        <color theme="1"/>
        <rFont val="Cambria"/>
        <family val="1"/>
      </rPr>
      <t>Time Use</t>
    </r>
  </si>
  <si>
    <t>I+K..  Savings &amp; Transfers</t>
  </si>
  <si>
    <t>I.+L. Borrowing</t>
  </si>
  <si>
    <r>
      <t>M.</t>
    </r>
    <r>
      <rPr>
        <sz val="7"/>
        <color theme="1"/>
        <rFont val="Times New Roman"/>
        <family val="1"/>
      </rPr>
      <t xml:space="preserve">     </t>
    </r>
    <r>
      <rPr>
        <sz val="11"/>
        <color theme="1"/>
        <rFont val="Cambria"/>
        <family val="1"/>
      </rPr>
      <t>Lending</t>
    </r>
  </si>
  <si>
    <r>
      <t>J.</t>
    </r>
    <r>
      <rPr>
        <sz val="7"/>
        <color theme="1"/>
        <rFont val="Times New Roman"/>
        <family val="1"/>
      </rPr>
      <t xml:space="preserve">        </t>
    </r>
    <r>
      <rPr>
        <sz val="11"/>
        <color theme="1"/>
        <rFont val="Cambria"/>
        <family val="1"/>
      </rPr>
      <t xml:space="preserve">Food Security </t>
    </r>
  </si>
  <si>
    <r>
      <t>O.</t>
    </r>
    <r>
      <rPr>
        <i/>
        <sz val="7"/>
        <color theme="1"/>
        <rFont val="Times New Roman"/>
        <family val="1"/>
      </rPr>
      <t xml:space="preserve">      </t>
    </r>
    <r>
      <rPr>
        <i/>
        <sz val="11"/>
        <color theme="1"/>
        <rFont val="Cambria"/>
        <family val="1"/>
      </rPr>
      <t>Kessler’s Scale (ML2)</t>
    </r>
  </si>
  <si>
    <r>
      <t>N.</t>
    </r>
    <r>
      <rPr>
        <sz val="7"/>
        <color theme="1"/>
        <rFont val="Times New Roman"/>
        <family val="1"/>
      </rPr>
      <t xml:space="preserve">      </t>
    </r>
    <r>
      <rPr>
        <sz val="11"/>
        <color theme="1"/>
        <rFont val="Cambria"/>
        <family val="1"/>
      </rPr>
      <t>End of Survey Wrap –up</t>
    </r>
  </si>
  <si>
    <t>Respondent gave age but is not sure about it</t>
  </si>
  <si>
    <r>
      <t xml:space="preserve">We have talked about food consumed in the household. Now I'm interested in knowing what food </t>
    </r>
    <r>
      <rPr>
        <b/>
        <sz val="10"/>
        <color theme="1"/>
        <rFont val="Times New Roman"/>
        <family val="1"/>
      </rPr>
      <t>you</t>
    </r>
    <r>
      <rPr>
        <sz val="10"/>
        <color theme="1"/>
        <rFont val="Times New Roman"/>
        <family val="1"/>
      </rPr>
      <t xml:space="preserve"> have </t>
    </r>
    <r>
      <rPr>
        <u/>
        <sz val="10"/>
        <color theme="1"/>
        <rFont val="Times New Roman"/>
        <family val="1"/>
      </rPr>
      <t>purchased</t>
    </r>
    <r>
      <rPr>
        <sz val="10"/>
        <color theme="1"/>
        <rFont val="Times New Roman"/>
        <family val="1"/>
      </rPr>
      <t xml:space="preserve"> and consumed outside your household. Before I asked you about food consumed in the past 7 days, but now I want to know about what you have purchased and consumed in the past 3 weeks. Please only count the food that you yourself consumed; so, if you went to a hotel with your spouse and both had dinner, you only count how much your dinner cost.</t>
    </r>
  </si>
  <si>
    <t xml:space="preserve">Do you own a business? This business can be big or small, agricultural or non-agricultural, and owned by yourself or jointly with others in your household or with partners.  </t>
  </si>
  <si>
    <t>G.5.</t>
  </si>
  <si>
    <t>Now I want to talk about your financial plans for the next 3 months. INSTRCUTIONS: This is on individual level</t>
  </si>
  <si>
    <r>
      <t xml:space="preserve">When you think about how you </t>
    </r>
    <r>
      <rPr>
        <b/>
        <sz val="10"/>
        <rFont val="Times New Roman"/>
        <family val="1"/>
      </rPr>
      <t>generate</t>
    </r>
    <r>
      <rPr>
        <sz val="10"/>
        <rFont val="Times New Roman"/>
        <family val="1"/>
      </rPr>
      <t xml:space="preserve"> income, are you planning to change that in any way</t>
    </r>
    <r>
      <rPr>
        <b/>
        <sz val="10"/>
        <rFont val="Times New Roman"/>
        <family val="1"/>
      </rPr>
      <t xml:space="preserve"> in the next 3 months</t>
    </r>
    <r>
      <rPr>
        <sz val="10"/>
        <rFont val="Times New Roman"/>
        <family val="1"/>
      </rPr>
      <t>? This can be by starting a new business, expanding an existing one, changing a job, growing more or less crops to sell, or anything else that will change how much money you make, whether you will make more or less.</t>
    </r>
  </si>
  <si>
    <t>Now I want to talk about your existing business. (Check is business is existing in g.1)</t>
  </si>
  <si>
    <t xml:space="preserve">skip to personal invetsments </t>
  </si>
  <si>
    <t>Question is asked if g.1. is yes. (Respondents ownes a business)</t>
  </si>
  <si>
    <t xml:space="preserve">skip new business </t>
  </si>
  <si>
    <t>What steps have you taken to start this business?
SELECT ALL THAT APPLY. Instructions to enums: learn these answering options!</t>
  </si>
  <si>
    <r>
      <t xml:space="preserve">What inputs/supplies do you need to run this business?
INSTRUCTIONS: Let the respondent list inputs and then select appropriate answer option to classify the </t>
    </r>
    <r>
      <rPr>
        <b/>
        <sz val="10"/>
        <rFont val="Times New Roman"/>
        <family val="1"/>
      </rPr>
      <t>confidence</t>
    </r>
    <r>
      <rPr>
        <sz val="10"/>
        <rFont val="Times New Roman"/>
        <family val="1"/>
      </rPr>
      <t xml:space="preserve"> of their answer.</t>
    </r>
  </si>
  <si>
    <t>skip to 13</t>
  </si>
  <si>
    <r>
      <t xml:space="preserve">Can you estimate your projected average monthly </t>
    </r>
    <r>
      <rPr>
        <b/>
        <sz val="10"/>
        <color theme="1"/>
        <rFont val="Times New Roman"/>
        <family val="1"/>
      </rPr>
      <t>profits?</t>
    </r>
    <r>
      <rPr>
        <sz val="10"/>
        <color theme="1"/>
        <rFont val="Times New Roman"/>
        <family val="1"/>
      </rPr>
      <t xml:space="preserve"> That is, how much this business earns after paying all expenses?</t>
    </r>
  </si>
  <si>
    <r>
      <t>Now we want to talk about personal investments. By this, we mean making any major purchases, building or improving your dwelling, repairing something that belongs to you, or investing in yourself  or your household in any other way.  (Personal iinvestmenst goes beyond '</t>
    </r>
    <r>
      <rPr>
        <i/>
        <sz val="10"/>
        <rFont val="Times New Roman"/>
        <family val="1"/>
      </rPr>
      <t>basic needs'</t>
    </r>
    <r>
      <rPr>
        <sz val="10"/>
        <rFont val="Times New Roman"/>
        <family val="1"/>
      </rPr>
      <t>)</t>
    </r>
  </si>
  <si>
    <t>Grant from TASO</t>
  </si>
  <si>
    <t>Collecting firewood or grass for yourself or for sale</t>
  </si>
  <si>
    <t>Have you done any other activity for money or trade that we have not mentioned in the past 4 weeks ? If any, record activity here: _________________________</t>
  </si>
  <si>
    <t>Have you done any other activities that we have not mentioned in the past 4 weeks? If any, record activity here: _________________________</t>
  </si>
  <si>
    <t xml:space="preserve">Visiting a clinic, health center or doctor/ TASO Center </t>
  </si>
  <si>
    <t xml:space="preserve">Read: Now I want to ask you how you have spent your time last 7 days. This includes activities you do for money or trade, or for  the household and / or yourself. I will read you a list of activities, and you will say what you have done in the past 4 weeks. Then I will ask you about each activity in the past 7 days. So, in the last four weeks have you…?
INSTRUCTION: Ask about each activity from the list. If yes, put the corresponding letter in the table, then return to reading from the list. </t>
  </si>
  <si>
    <t xml:space="preserve">None . Other specify </t>
  </si>
  <si>
    <t>Bedridden)</t>
  </si>
  <si>
    <t>W</t>
  </si>
  <si>
    <t xml:space="preserve">only show if i.16-i18 is yes </t>
  </si>
  <si>
    <t>I.17a</t>
  </si>
  <si>
    <t>I.18a</t>
  </si>
  <si>
    <t>I.19</t>
  </si>
  <si>
    <t>Emergencies (not health related )</t>
  </si>
  <si>
    <t>Microfinance agency (Pride, Ugafode)</t>
  </si>
  <si>
    <t>L.1.</t>
  </si>
  <si>
    <t>How much money do you still need to pay back to (Name of source of loan)? Include interest.</t>
  </si>
  <si>
    <t>How is the person you lent money  related to you? 
INSTRUCTIONS: Fill in the following sentence: "The person borrowing is the respondent's _______ ."</t>
  </si>
  <si>
    <r>
      <t>Did  or will (</t>
    </r>
    <r>
      <rPr>
        <i/>
        <sz val="10"/>
        <rFont val="Times New Roman"/>
        <family val="1"/>
      </rPr>
      <t>name of borrower)</t>
    </r>
    <r>
      <rPr>
        <sz val="10"/>
        <rFont val="Times New Roman"/>
        <family val="1"/>
      </rPr>
      <t xml:space="preserve"> pay back more money than they borrowed? (Paid back with intrest?)</t>
    </r>
  </si>
  <si>
    <t xml:space="preserve">How many times in the last 3 days did you miss taking one of your ART pills? </t>
  </si>
  <si>
    <r>
      <t xml:space="preserve">Date of  </t>
    </r>
    <r>
      <rPr>
        <b/>
        <sz val="10"/>
        <rFont val="Times New Roman"/>
        <family val="1"/>
      </rPr>
      <t>next</t>
    </r>
    <r>
      <rPr>
        <sz val="10"/>
        <rFont val="Times New Roman"/>
        <family val="1"/>
      </rPr>
      <t xml:space="preserve"> Interview:                                                                      </t>
    </r>
  </si>
  <si>
    <t>insert: switch on gps!</t>
  </si>
  <si>
    <r>
      <t xml:space="preserve">
Question: Please list all of the people or places you borrowed any of money from in the</t>
    </r>
    <r>
      <rPr>
        <b/>
        <u/>
        <sz val="10"/>
        <rFont val="Times New Roman"/>
        <family val="1"/>
      </rPr>
      <t xml:space="preserve"> past 3 weeks.</t>
    </r>
    <r>
      <rPr>
        <b/>
        <sz val="10"/>
        <rFont val="Times New Roman"/>
        <family val="1"/>
      </rPr>
      <t xml:space="preserve">
</t>
    </r>
    <r>
      <rPr>
        <i/>
        <sz val="10"/>
        <rFont val="Times New Roman"/>
        <family val="1"/>
      </rPr>
      <t xml:space="preserve">Instructions: Finish question 4- 10 for all loans that the respondent list (names) under question no.1. If a respondent has several loans from one and  the same person, number them. </t>
    </r>
    <r>
      <rPr>
        <b/>
        <i/>
        <sz val="10"/>
        <rFont val="Times New Roman"/>
        <family val="1"/>
      </rPr>
      <t xml:space="preserve"> Note! Goods and/or services bought on credit should also be counted as borrowed money.</t>
    </r>
  </si>
  <si>
    <r>
      <t xml:space="preserve">
Question: Please list all of the people or places you lend any money to in the past 3 weeks.
</t>
    </r>
    <r>
      <rPr>
        <i/>
        <sz val="10"/>
        <rFont val="Times New Roman"/>
        <family val="1"/>
      </rPr>
      <t xml:space="preserve">Instructions: Finish question 2- 8 for all loans that the respondent list (names) under question no.1. If a respondent has given several loans to the same person, number them. </t>
    </r>
    <r>
      <rPr>
        <b/>
        <i/>
        <sz val="10"/>
        <rFont val="Times New Roman"/>
        <family val="1"/>
      </rPr>
      <t>Note! Goods and/or services sold on credit are also counted as a loans given.</t>
    </r>
  </si>
  <si>
    <t xml:space="preserve">not required </t>
  </si>
  <si>
    <r>
      <t xml:space="preserve">So far we have talked about how you spent your money on food. Now I'd like to know what other expenditures you have, </t>
    </r>
    <r>
      <rPr>
        <b/>
        <sz val="10"/>
        <rFont val="Times New Roman"/>
        <family val="1"/>
      </rPr>
      <t>for self or for your household.</t>
    </r>
    <r>
      <rPr>
        <sz val="10"/>
        <rFont val="Times New Roman"/>
        <family val="1"/>
      </rPr>
      <t xml:space="preserve">  First we will talk about some expenses that are monthly, and then about your spending in the past 3 weeks. </t>
    </r>
  </si>
  <si>
    <t xml:space="preserve">a. Do you use water  in the running of your business?  </t>
  </si>
  <si>
    <r>
      <t xml:space="preserve">Are you planning to make any  business investments in or expansions to your existing business </t>
    </r>
    <r>
      <rPr>
        <b/>
        <sz val="10"/>
        <rFont val="Times New Roman"/>
        <family val="1"/>
      </rPr>
      <t>in the next 3 months</t>
    </r>
    <r>
      <rPr>
        <sz val="10"/>
        <rFont val="Times New Roman"/>
        <family val="1"/>
      </rPr>
      <t>?</t>
    </r>
  </si>
  <si>
    <r>
      <t>If no</t>
    </r>
    <r>
      <rPr>
        <sz val="10"/>
        <rFont val="Cambria"/>
        <family val="1"/>
      </rPr>
      <t>→L.11.</t>
    </r>
  </si>
  <si>
    <t xml:space="preserve">c. How are you raising money for this investment?  CHECK ALL THAT APPLY </t>
  </si>
  <si>
    <t xml:space="preserve">We have now talked about a different things that you may have spent money on in the past 3 weeks. Now I would like to ask you if there are any other expenditures that you incurred that we haven't discussed yet . This can be goods or services. Paid with money or in-kind gifts </t>
  </si>
  <si>
    <r>
      <rPr>
        <b/>
        <sz val="10"/>
        <rFont val="Times New Roman"/>
        <family val="1"/>
      </rPr>
      <t xml:space="preserve">Read: </t>
    </r>
    <r>
      <rPr>
        <sz val="10"/>
        <rFont val="Times New Roman"/>
        <family val="1"/>
      </rPr>
      <t>Now I would like to ask some basic background questions about you.</t>
    </r>
  </si>
  <si>
    <r>
      <rPr>
        <b/>
        <sz val="10"/>
        <rFont val="Times New Roman"/>
        <family val="1"/>
      </rPr>
      <t xml:space="preserve">OBSERVE: </t>
    </r>
    <r>
      <rPr>
        <sz val="10"/>
        <rFont val="Times New Roman"/>
        <family val="1"/>
      </rPr>
      <t>Gender of respondent</t>
    </r>
  </si>
  <si>
    <r>
      <t xml:space="preserve">How old are you? 
</t>
    </r>
    <r>
      <rPr>
        <b/>
        <i/>
        <sz val="10"/>
        <rFont val="Times New Roman"/>
        <family val="1"/>
      </rPr>
      <t>If respondent does not know, approximate using events table.
IF CANNOT APPROXIMATE AGE, LEAVE BLANK AND MARK 4 OR 5 ON THE NEXT QUESTION</t>
    </r>
  </si>
  <si>
    <r>
      <rPr>
        <b/>
        <sz val="10"/>
        <rFont val="Times New Roman"/>
        <family val="1"/>
      </rPr>
      <t xml:space="preserve">Do not read: </t>
    </r>
    <r>
      <rPr>
        <sz val="10"/>
        <rFont val="Times New Roman"/>
        <family val="1"/>
      </rPr>
      <t>Is the age an approximation?</t>
    </r>
  </si>
  <si>
    <r>
      <t xml:space="preserve"> DD: </t>
    </r>
    <r>
      <rPr>
        <sz val="11"/>
        <rFont val="Arial Narrow"/>
        <family val="2"/>
      </rPr>
      <t>|__|__|</t>
    </r>
    <r>
      <rPr>
        <sz val="10"/>
        <rFont val="Arial Narrow"/>
        <family val="2"/>
      </rPr>
      <t xml:space="preserve"> MM: </t>
    </r>
    <r>
      <rPr>
        <sz val="11"/>
        <rFont val="Arial Narrow"/>
        <family val="2"/>
      </rPr>
      <t xml:space="preserve">|__|__| </t>
    </r>
    <r>
      <rPr>
        <sz val="10"/>
        <rFont val="Arial Narrow"/>
        <family val="2"/>
      </rPr>
      <t xml:space="preserve">YYYY: </t>
    </r>
    <r>
      <rPr>
        <sz val="11"/>
        <rFont val="Arial Narrow"/>
        <family val="2"/>
      </rPr>
      <t>|__|__|__|__|</t>
    </r>
  </si>
  <si>
    <r>
      <t xml:space="preserve">YYYY: </t>
    </r>
    <r>
      <rPr>
        <sz val="11"/>
        <rFont val="Arial Narrow"/>
        <family val="2"/>
      </rPr>
      <t>|__|__|__|__|</t>
    </r>
  </si>
  <si>
    <r>
      <t>Other</t>
    </r>
    <r>
      <rPr>
        <i/>
        <sz val="10"/>
        <rFont val="Times New Roman"/>
        <family val="1"/>
      </rPr>
      <t xml:space="preserve"> (enter code) </t>
    </r>
    <r>
      <rPr>
        <sz val="10"/>
        <rFont val="Times New Roman"/>
        <family val="1"/>
      </rPr>
      <t>[________________]</t>
    </r>
  </si>
  <si>
    <r>
      <t>Other (</t>
    </r>
    <r>
      <rPr>
        <i/>
        <sz val="10"/>
        <rFont val="Times New Roman"/>
        <family val="1"/>
      </rPr>
      <t>specify</t>
    </r>
    <r>
      <rPr>
        <sz val="10"/>
        <rFont val="Times New Roman"/>
        <family val="1"/>
      </rPr>
      <t>) [_____________________]</t>
    </r>
  </si>
  <si>
    <t>In the past 3 weeks have you sold any crops grown by your household that were meant for your own consumption to raise income for your family?
IF CONFUSED, PROBE: This means crops that were not meant for commercial sale but that you sold either because there was a surplus or because you needed to get money.</t>
  </si>
  <si>
    <t>loops created by number of business in G.1.</t>
  </si>
  <si>
    <t xml:space="preserve">c. How much did  you pay for electricity, for business use?  In the last 3 weeks </t>
  </si>
  <si>
    <t xml:space="preserve">c. How much did you pay for water  for business use?  In the last 3 weeks </t>
  </si>
  <si>
    <t xml:space="preserve">|__|,|__|__|__|,|__|__|__|  UGX                                          </t>
  </si>
  <si>
    <t>Dropdown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</si>
</sst>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4" x14ac:knownFonts="1">
    <font>
      <sz val="11"/>
      <color theme="1"/>
      <name val="Calibri"/>
      <family val="2"/>
      <scheme val="minor"/>
    </font>
    <font>
      <b/>
      <sz val="10"/>
      <name val="Times New Roman"/>
      <family val="1"/>
    </font>
    <font>
      <sz val="11"/>
      <color theme="1"/>
      <name val="Times New Roman"/>
      <family val="1"/>
    </font>
    <font>
      <sz val="10"/>
      <color theme="1"/>
      <name val="Times New Roman"/>
      <family val="1"/>
    </font>
    <font>
      <sz val="10"/>
      <name val="Times New Roman"/>
      <family val="1"/>
    </font>
    <font>
      <b/>
      <sz val="10"/>
      <color theme="1"/>
      <name val="Times New Roman"/>
      <family val="1"/>
    </font>
    <font>
      <b/>
      <i/>
      <sz val="10"/>
      <name val="Times New Roman"/>
      <family val="1"/>
    </font>
    <font>
      <b/>
      <u/>
      <sz val="12"/>
      <color indexed="12"/>
      <name val="Times New Roman"/>
      <family val="1"/>
    </font>
    <font>
      <b/>
      <sz val="9"/>
      <name val="Calibri"/>
      <family val="2"/>
    </font>
    <font>
      <sz val="9"/>
      <name val="Times New Roman"/>
      <family val="1"/>
    </font>
    <font>
      <i/>
      <sz val="10"/>
      <name val="Times New Roman"/>
      <family val="1"/>
    </font>
    <font>
      <b/>
      <sz val="13"/>
      <color theme="1"/>
      <name val="Times New Roman"/>
      <family val="1"/>
    </font>
    <font>
      <b/>
      <u/>
      <sz val="12"/>
      <name val="Times New Roman"/>
      <family val="1"/>
    </font>
    <font>
      <b/>
      <u/>
      <sz val="12"/>
      <name val="Verdana"/>
      <family val="2"/>
    </font>
    <font>
      <sz val="10"/>
      <name val="Wingdings"/>
      <charset val="2"/>
    </font>
    <font>
      <b/>
      <sz val="11"/>
      <name val="Times New Roman"/>
      <family val="1"/>
    </font>
    <font>
      <sz val="8"/>
      <name val="Arial"/>
      <family val="2"/>
    </font>
    <font>
      <sz val="8"/>
      <name val="Times New Roman"/>
      <family val="1"/>
    </font>
    <font>
      <b/>
      <sz val="9"/>
      <name val="Times New Roman"/>
      <family val="1"/>
    </font>
    <font>
      <sz val="10"/>
      <name val="Verdana"/>
      <family val="2"/>
    </font>
    <font>
      <sz val="11"/>
      <name val="Times New Roman"/>
      <family val="1"/>
    </font>
    <font>
      <sz val="11"/>
      <name val="Calibri"/>
      <family val="2"/>
      <scheme val="minor"/>
    </font>
    <font>
      <sz val="10"/>
      <color theme="1"/>
      <name val="Cambria"/>
      <family val="1"/>
    </font>
    <font>
      <sz val="10"/>
      <name val="Cambria"/>
      <family val="1"/>
    </font>
    <font>
      <sz val="10"/>
      <color rgb="FF222222"/>
      <name val="Arial"/>
      <family val="2"/>
    </font>
    <font>
      <u/>
      <sz val="10"/>
      <name val="Times New Roman"/>
      <family val="1"/>
    </font>
    <font>
      <sz val="9"/>
      <name val="Cambria"/>
      <family val="1"/>
    </font>
    <font>
      <sz val="10"/>
      <name val="Arial"/>
      <family val="2"/>
    </font>
    <font>
      <b/>
      <u/>
      <sz val="14"/>
      <name val="Times New Roman"/>
      <family val="1"/>
    </font>
    <font>
      <sz val="9"/>
      <color theme="1"/>
      <name val="Calibri"/>
      <family val="2"/>
      <scheme val="minor"/>
    </font>
    <font>
      <u/>
      <sz val="12"/>
      <name val="Times New Roman"/>
      <family val="1"/>
    </font>
    <font>
      <b/>
      <sz val="15"/>
      <name val="Cambria"/>
      <family val="1"/>
    </font>
    <font>
      <b/>
      <sz val="12"/>
      <color theme="1"/>
      <name val="Cambria"/>
      <family val="1"/>
    </font>
    <font>
      <sz val="11"/>
      <color theme="1"/>
      <name val="Cambria"/>
      <family val="1"/>
    </font>
    <font>
      <sz val="7"/>
      <color theme="1"/>
      <name val="Times New Roman"/>
      <family val="1"/>
    </font>
    <font>
      <i/>
      <sz val="11"/>
      <color theme="1"/>
      <name val="Cambria"/>
      <family val="1"/>
    </font>
    <font>
      <i/>
      <sz val="7"/>
      <color theme="1"/>
      <name val="Times New Roman"/>
      <family val="1"/>
    </font>
    <font>
      <sz val="11"/>
      <color rgb="FFFF0000"/>
      <name val="Calibri"/>
      <family val="2"/>
      <scheme val="minor"/>
    </font>
    <font>
      <u/>
      <sz val="10"/>
      <color theme="1"/>
      <name val="Times New Roman"/>
      <family val="1"/>
    </font>
    <font>
      <sz val="10"/>
      <color rgb="FFFF0000"/>
      <name val="Times New Roman"/>
      <family val="1"/>
    </font>
    <font>
      <sz val="8"/>
      <color rgb="FFFF0000"/>
      <name val="Arial"/>
      <family val="2"/>
    </font>
    <font>
      <b/>
      <u/>
      <sz val="10"/>
      <name val="Times New Roman"/>
      <family val="1"/>
    </font>
    <font>
      <sz val="10"/>
      <name val="Arial Narrow"/>
      <family val="2"/>
    </font>
    <font>
      <sz val="11"/>
      <name val="Arial Narrow"/>
      <family val="2"/>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6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thin">
        <color indexed="64"/>
      </right>
      <top style="thin">
        <color rgb="FF000000"/>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rgb="FF000000"/>
      </bottom>
      <diagonal/>
    </border>
    <border>
      <left/>
      <right/>
      <top style="thin">
        <color rgb="FF000000"/>
      </top>
      <bottom style="thin">
        <color indexed="64"/>
      </bottom>
      <diagonal/>
    </border>
    <border>
      <left style="thin">
        <color indexed="64"/>
      </left>
      <right style="thin">
        <color indexed="64"/>
      </right>
      <top style="medium">
        <color indexed="64"/>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theme="0" tint="-0.14996795556505021"/>
      </right>
      <top/>
      <bottom style="thin">
        <color theme="0" tint="-0.14996795556505021"/>
      </bottom>
      <diagonal/>
    </border>
    <border>
      <left/>
      <right style="thin">
        <color indexed="64"/>
      </right>
      <top style="hair">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46">
    <xf numFmtId="0" fontId="0" fillId="0" borderId="0" xfId="0"/>
    <xf numFmtId="164" fontId="4" fillId="0" borderId="8" xfId="0" applyNumberFormat="1" applyFont="1" applyBorder="1" applyAlignment="1">
      <alignment horizontal="right" vertical="top"/>
    </xf>
    <xf numFmtId="0" fontId="4" fillId="0" borderId="8" xfId="0" applyFont="1" applyBorder="1" applyAlignment="1">
      <alignment horizontal="left" vertical="top"/>
    </xf>
    <xf numFmtId="164" fontId="4" fillId="0" borderId="0" xfId="0" applyNumberFormat="1" applyFont="1" applyAlignment="1">
      <alignment horizontal="right" vertical="top"/>
    </xf>
    <xf numFmtId="0" fontId="4" fillId="0" borderId="0" xfId="0" applyFont="1" applyAlignment="1">
      <alignment horizontal="left" vertical="top"/>
    </xf>
    <xf numFmtId="0" fontId="3" fillId="0" borderId="0" xfId="0" applyFont="1"/>
    <xf numFmtId="0" fontId="3" fillId="0" borderId="17" xfId="0" applyFont="1" applyBorder="1"/>
    <xf numFmtId="0" fontId="0" fillId="0" borderId="0" xfId="0" applyAlignment="1">
      <alignment vertical="top"/>
    </xf>
    <xf numFmtId="164" fontId="4" fillId="0" borderId="1" xfId="0" applyNumberFormat="1" applyFont="1" applyBorder="1" applyAlignment="1">
      <alignment horizontal="right" vertical="top" wrapText="1"/>
    </xf>
    <xf numFmtId="164" fontId="4" fillId="0" borderId="16" xfId="0" applyNumberFormat="1" applyFont="1" applyBorder="1" applyAlignment="1">
      <alignment horizontal="right" vertical="top" wrapText="1"/>
    </xf>
    <xf numFmtId="0" fontId="4" fillId="0" borderId="2" xfId="0" applyFont="1" applyBorder="1" applyAlignment="1">
      <alignment horizontal="left" vertical="top"/>
    </xf>
    <xf numFmtId="0" fontId="4" fillId="0" borderId="10" xfId="0" applyFont="1" applyBorder="1" applyAlignment="1">
      <alignment horizontal="left" vertical="top"/>
    </xf>
    <xf numFmtId="164" fontId="4" fillId="0" borderId="12" xfId="0" applyNumberFormat="1" applyFont="1" applyBorder="1" applyAlignment="1">
      <alignment horizontal="right" vertical="top" wrapText="1"/>
    </xf>
    <xf numFmtId="0" fontId="4" fillId="0" borderId="0" xfId="0" applyFont="1" applyAlignment="1">
      <alignment vertical="top"/>
    </xf>
    <xf numFmtId="164" fontId="4" fillId="0" borderId="0" xfId="0" applyNumberFormat="1" applyFont="1" applyAlignment="1">
      <alignment horizontal="left" vertical="top"/>
    </xf>
    <xf numFmtId="0" fontId="4" fillId="0" borderId="14" xfId="0" applyFont="1" applyBorder="1" applyAlignment="1">
      <alignment horizontal="left" vertical="top"/>
    </xf>
    <xf numFmtId="164" fontId="4" fillId="0" borderId="24" xfId="0" applyNumberFormat="1" applyFont="1" applyBorder="1" applyAlignment="1">
      <alignment horizontal="left" vertical="top" wrapText="1"/>
    </xf>
    <xf numFmtId="0" fontId="4" fillId="0" borderId="22" xfId="0" applyFont="1" applyBorder="1" applyAlignment="1">
      <alignment horizontal="left" vertical="top" wrapText="1"/>
    </xf>
    <xf numFmtId="164" fontId="4" fillId="0" borderId="6" xfId="0" applyNumberFormat="1" applyFont="1" applyBorder="1" applyAlignment="1">
      <alignment horizontal="left" vertical="top" wrapText="1"/>
    </xf>
    <xf numFmtId="0" fontId="3" fillId="0" borderId="0" xfId="0" applyFont="1" applyAlignment="1">
      <alignment horizontal="right" vertical="top"/>
    </xf>
    <xf numFmtId="0" fontId="1" fillId="0" borderId="0" xfId="0" applyFont="1" applyAlignment="1">
      <alignment horizontal="left" vertical="top" wrapText="1"/>
    </xf>
    <xf numFmtId="0" fontId="8" fillId="0" borderId="0" xfId="0" applyFont="1" applyAlignment="1">
      <alignment horizontal="left" vertical="top" wrapText="1"/>
    </xf>
    <xf numFmtId="164" fontId="4" fillId="0" borderId="2" xfId="0" applyNumberFormat="1" applyFont="1" applyBorder="1" applyAlignment="1">
      <alignment horizontal="left" vertical="top"/>
    </xf>
    <xf numFmtId="0" fontId="4" fillId="0" borderId="10" xfId="0" applyFont="1" applyBorder="1" applyAlignment="1">
      <alignment horizontal="left" vertical="top" wrapText="1"/>
    </xf>
    <xf numFmtId="0" fontId="4" fillId="0" borderId="9" xfId="0" applyFont="1" applyBorder="1" applyAlignment="1">
      <alignment vertical="top" wrapText="1"/>
    </xf>
    <xf numFmtId="0" fontId="4" fillId="0" borderId="17" xfId="0" applyFont="1" applyBorder="1" applyAlignment="1">
      <alignment vertical="top"/>
    </xf>
    <xf numFmtId="0" fontId="4" fillId="0" borderId="10" xfId="0" applyFont="1" applyBorder="1" applyAlignment="1">
      <alignment vertical="top"/>
    </xf>
    <xf numFmtId="0" fontId="4" fillId="0" borderId="14" xfId="0" applyFont="1" applyBorder="1" applyAlignment="1">
      <alignment vertical="top"/>
    </xf>
    <xf numFmtId="0" fontId="4" fillId="0" borderId="22" xfId="0" applyFont="1" applyBorder="1" applyAlignment="1">
      <alignment vertical="top" wrapText="1"/>
    </xf>
    <xf numFmtId="164" fontId="4" fillId="0" borderId="8" xfId="0" applyNumberFormat="1" applyFont="1" applyBorder="1" applyAlignment="1">
      <alignment horizontal="right" vertical="top" wrapText="1"/>
    </xf>
    <xf numFmtId="164" fontId="4" fillId="0" borderId="0" xfId="0" applyNumberFormat="1" applyFont="1" applyAlignment="1">
      <alignment horizontal="right" vertical="top" wrapText="1"/>
    </xf>
    <xf numFmtId="164" fontId="4" fillId="0" borderId="17" xfId="0" applyNumberFormat="1" applyFont="1" applyBorder="1" applyAlignment="1">
      <alignment horizontal="right" vertical="top" wrapText="1"/>
    </xf>
    <xf numFmtId="0" fontId="4" fillId="0" borderId="0" xfId="0" applyFont="1" applyAlignment="1">
      <alignment horizontal="left" vertical="top" wrapText="1"/>
    </xf>
    <xf numFmtId="164" fontId="4" fillId="0" borderId="1" xfId="0" applyNumberFormat="1" applyFont="1" applyBorder="1" applyAlignment="1">
      <alignment horizontal="right" vertical="top"/>
    </xf>
    <xf numFmtId="0" fontId="0" fillId="0" borderId="0" xfId="0" applyAlignment="1">
      <alignment horizontal="right"/>
    </xf>
    <xf numFmtId="0" fontId="3" fillId="0" borderId="0" xfId="0" applyFont="1" applyAlignment="1">
      <alignment horizontal="left" vertical="top"/>
    </xf>
    <xf numFmtId="0" fontId="3" fillId="0" borderId="12" xfId="0" applyFont="1" applyBorder="1" applyAlignment="1">
      <alignment horizontal="left" vertical="top"/>
    </xf>
    <xf numFmtId="0" fontId="3" fillId="0" borderId="16" xfId="0" applyFont="1" applyBorder="1" applyAlignment="1">
      <alignment horizontal="lef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164" fontId="3" fillId="0" borderId="2" xfId="0" applyNumberFormat="1" applyFont="1" applyBorder="1" applyAlignment="1">
      <alignment horizontal="left" vertical="top" wrapText="1"/>
    </xf>
    <xf numFmtId="0" fontId="4" fillId="0" borderId="12" xfId="0" applyFont="1" applyBorder="1" applyAlignment="1">
      <alignment horizontal="right" vertical="top"/>
    </xf>
    <xf numFmtId="0" fontId="4" fillId="0" borderId="16" xfId="0" applyFont="1" applyBorder="1" applyAlignment="1">
      <alignment horizontal="right" vertical="top"/>
    </xf>
    <xf numFmtId="0" fontId="3" fillId="0" borderId="12" xfId="0" applyFont="1" applyBorder="1"/>
    <xf numFmtId="0" fontId="3" fillId="0" borderId="16" xfId="0" applyFont="1" applyBorder="1"/>
    <xf numFmtId="0" fontId="3" fillId="0" borderId="0" xfId="0" applyFont="1" applyAlignment="1">
      <alignment horizontal="right"/>
    </xf>
    <xf numFmtId="0" fontId="0" fillId="0" borderId="0" xfId="0" applyAlignment="1">
      <alignment horizontal="left" vertical="top"/>
    </xf>
    <xf numFmtId="164" fontId="4" fillId="0" borderId="6" xfId="0" applyNumberFormat="1" applyFont="1" applyBorder="1" applyAlignment="1">
      <alignment horizontal="left" vertical="top"/>
    </xf>
    <xf numFmtId="0" fontId="4" fillId="0" borderId="9" xfId="0" applyFont="1" applyBorder="1" applyAlignment="1">
      <alignment horizontal="left" vertical="top"/>
    </xf>
    <xf numFmtId="0" fontId="4" fillId="0" borderId="13" xfId="0" applyFont="1" applyBorder="1" applyAlignment="1">
      <alignment horizontal="left" vertical="top"/>
    </xf>
    <xf numFmtId="164" fontId="4" fillId="0" borderId="26" xfId="0" applyNumberFormat="1" applyFont="1" applyBorder="1" applyAlignment="1">
      <alignment horizontal="left" vertical="top" wrapText="1"/>
    </xf>
    <xf numFmtId="164" fontId="4" fillId="0" borderId="22" xfId="0" applyNumberFormat="1" applyFont="1" applyBorder="1" applyAlignment="1">
      <alignment horizontal="left" vertical="top" wrapText="1"/>
    </xf>
    <xf numFmtId="164" fontId="4" fillId="0" borderId="8" xfId="0" applyNumberFormat="1" applyFont="1" applyBorder="1" applyAlignment="1">
      <alignment horizontal="right" vertical="center" wrapText="1"/>
    </xf>
    <xf numFmtId="164" fontId="4" fillId="0" borderId="3" xfId="0" applyNumberFormat="1" applyFont="1" applyBorder="1" applyAlignment="1">
      <alignment horizontal="left" vertical="top"/>
    </xf>
    <xf numFmtId="164" fontId="4" fillId="0" borderId="9" xfId="0" applyNumberFormat="1" applyFont="1" applyBorder="1" applyAlignment="1">
      <alignment horizontal="left" vertical="top" wrapText="1"/>
    </xf>
    <xf numFmtId="164" fontId="4" fillId="0" borderId="13" xfId="0" applyNumberFormat="1" applyFont="1" applyBorder="1" applyAlignment="1">
      <alignment horizontal="left" vertical="top" wrapText="1"/>
    </xf>
    <xf numFmtId="0" fontId="4" fillId="0" borderId="9" xfId="0" applyFont="1" applyBorder="1" applyAlignment="1">
      <alignment vertical="top"/>
    </xf>
    <xf numFmtId="0" fontId="4" fillId="0" borderId="13" xfId="0" applyFont="1" applyBorder="1" applyAlignment="1">
      <alignment vertical="top"/>
    </xf>
    <xf numFmtId="164" fontId="4" fillId="0" borderId="22" xfId="0" applyNumberFormat="1" applyFont="1" applyBorder="1" applyAlignment="1">
      <alignment horizontal="left" vertical="top"/>
    </xf>
    <xf numFmtId="0" fontId="7" fillId="0" borderId="0" xfId="0" applyFont="1" applyAlignment="1">
      <alignment vertical="top" wrapText="1"/>
    </xf>
    <xf numFmtId="0" fontId="1" fillId="0" borderId="0" xfId="0" applyFont="1" applyAlignment="1">
      <alignment horizontal="left" vertical="center" wrapText="1"/>
    </xf>
    <xf numFmtId="164" fontId="4" fillId="0" borderId="4" xfId="0" applyNumberFormat="1" applyFont="1" applyBorder="1" applyAlignment="1">
      <alignment horizontal="right" vertical="top"/>
    </xf>
    <xf numFmtId="164" fontId="4" fillId="0" borderId="12" xfId="0" applyNumberFormat="1" applyFont="1" applyBorder="1" applyAlignment="1">
      <alignment horizontal="right" vertical="top"/>
    </xf>
    <xf numFmtId="164" fontId="4" fillId="0" borderId="10" xfId="0" applyNumberFormat="1" applyFont="1" applyBorder="1" applyAlignment="1">
      <alignment horizontal="left" vertical="top"/>
    </xf>
    <xf numFmtId="164" fontId="4" fillId="0" borderId="16" xfId="0" applyNumberFormat="1" applyFont="1" applyBorder="1" applyAlignment="1">
      <alignment horizontal="right" vertical="top"/>
    </xf>
    <xf numFmtId="0" fontId="4" fillId="0" borderId="3" xfId="0" applyFont="1" applyBorder="1" applyAlignment="1">
      <alignment vertical="top" wrapText="1"/>
    </xf>
    <xf numFmtId="0" fontId="4" fillId="0" borderId="2" xfId="0" applyFont="1" applyBorder="1" applyAlignment="1">
      <alignment vertical="top" wrapText="1"/>
    </xf>
    <xf numFmtId="0" fontId="4" fillId="0" borderId="1" xfId="0" applyFont="1" applyBorder="1" applyAlignment="1">
      <alignment vertical="center" wrapText="1"/>
    </xf>
    <xf numFmtId="0" fontId="4" fillId="0" borderId="5" xfId="0" applyFont="1" applyBorder="1" applyAlignment="1">
      <alignment horizontal="left" vertical="center" wrapText="1"/>
    </xf>
    <xf numFmtId="0" fontId="4" fillId="0" borderId="4" xfId="0" applyFont="1" applyBorder="1" applyAlignment="1">
      <alignment vertical="top" wrapText="1"/>
    </xf>
    <xf numFmtId="164" fontId="4" fillId="0" borderId="1" xfId="0" applyNumberFormat="1" applyFont="1" applyBorder="1" applyAlignment="1">
      <alignment vertical="top" wrapText="1"/>
    </xf>
    <xf numFmtId="0" fontId="4" fillId="0" borderId="10" xfId="0" applyFont="1" applyBorder="1" applyAlignment="1">
      <alignment vertical="top" wrapText="1"/>
    </xf>
    <xf numFmtId="0" fontId="4" fillId="0" borderId="10" xfId="0" applyFont="1" applyBorder="1" applyAlignment="1">
      <alignment vertical="center" wrapText="1"/>
    </xf>
    <xf numFmtId="0" fontId="4" fillId="0" borderId="14" xfId="0" applyFont="1" applyBorder="1" applyAlignment="1">
      <alignment vertical="top" wrapText="1"/>
    </xf>
    <xf numFmtId="0" fontId="4" fillId="0" borderId="12" xfId="0" applyFont="1" applyBorder="1" applyAlignment="1">
      <alignment vertical="top" wrapText="1"/>
    </xf>
    <xf numFmtId="0" fontId="4" fillId="0" borderId="16" xfId="0" applyFont="1" applyBorder="1" applyAlignment="1">
      <alignment vertical="top" wrapText="1"/>
    </xf>
    <xf numFmtId="0" fontId="4" fillId="0" borderId="1" xfId="0" applyFont="1" applyBorder="1" applyAlignment="1">
      <alignment vertical="top" wrapText="1"/>
    </xf>
    <xf numFmtId="0" fontId="11" fillId="0" borderId="0" xfId="0" applyFont="1" applyAlignment="1">
      <alignment horizontal="center" vertical="top"/>
    </xf>
    <xf numFmtId="0" fontId="4" fillId="0" borderId="0" xfId="0" applyFont="1" applyAlignment="1">
      <alignment vertical="top" wrapText="1"/>
    </xf>
    <xf numFmtId="0" fontId="14" fillId="0" borderId="1" xfId="0" applyFont="1" applyBorder="1" applyAlignment="1">
      <alignment horizontal="left" vertical="top"/>
    </xf>
    <xf numFmtId="0" fontId="14" fillId="0" borderId="12" xfId="0" applyFont="1" applyBorder="1" applyAlignment="1">
      <alignment horizontal="left" vertical="top"/>
    </xf>
    <xf numFmtId="0" fontId="7" fillId="0" borderId="0" xfId="0" applyFont="1" applyAlignment="1">
      <alignment horizontal="center" vertical="top" wrapText="1"/>
    </xf>
    <xf numFmtId="164" fontId="4" fillId="0" borderId="5" xfId="0" applyNumberFormat="1" applyFont="1" applyBorder="1" applyAlignment="1">
      <alignment horizontal="left" vertical="top" wrapText="1"/>
    </xf>
    <xf numFmtId="0" fontId="0" fillId="0" borderId="17" xfId="0" applyBorder="1"/>
    <xf numFmtId="0" fontId="4" fillId="0" borderId="1" xfId="0" applyFont="1" applyBorder="1" applyAlignment="1">
      <alignment horizontal="center" vertical="top"/>
    </xf>
    <xf numFmtId="0" fontId="4" fillId="0" borderId="8" xfId="0" applyFont="1" applyBorder="1" applyAlignment="1">
      <alignment horizontal="center" vertical="top"/>
    </xf>
    <xf numFmtId="0" fontId="4" fillId="0" borderId="12" xfId="0" applyFont="1" applyBorder="1" applyAlignment="1">
      <alignment horizontal="center" vertical="top"/>
    </xf>
    <xf numFmtId="0" fontId="4" fillId="0" borderId="0" xfId="0" applyFont="1" applyAlignment="1">
      <alignment horizontal="center" vertical="top"/>
    </xf>
    <xf numFmtId="0" fontId="4" fillId="0" borderId="16" xfId="0" applyFont="1" applyBorder="1" applyAlignment="1">
      <alignment horizontal="center" vertical="top"/>
    </xf>
    <xf numFmtId="0" fontId="4" fillId="0" borderId="17" xfId="0" applyFont="1" applyBorder="1" applyAlignment="1">
      <alignment horizontal="center" vertical="top"/>
    </xf>
    <xf numFmtId="164" fontId="4" fillId="0" borderId="36" xfId="0" applyNumberFormat="1" applyFont="1" applyBorder="1" applyAlignment="1">
      <alignment horizontal="right" vertical="top" wrapText="1"/>
    </xf>
    <xf numFmtId="0" fontId="14" fillId="0" borderId="16" xfId="0" applyFont="1" applyBorder="1" applyAlignment="1">
      <alignment vertical="top"/>
    </xf>
    <xf numFmtId="164" fontId="4" fillId="0" borderId="17" xfId="0" applyNumberFormat="1" applyFont="1" applyBorder="1"/>
    <xf numFmtId="0" fontId="14" fillId="0" borderId="12" xfId="0" applyFont="1" applyBorder="1" applyAlignment="1">
      <alignment vertical="top"/>
    </xf>
    <xf numFmtId="164" fontId="0" fillId="0" borderId="0" xfId="0" applyNumberFormat="1"/>
    <xf numFmtId="164" fontId="4" fillId="0" borderId="0" xfId="0" applyNumberFormat="1" applyFont="1" applyAlignment="1">
      <alignment vertical="top"/>
    </xf>
    <xf numFmtId="0" fontId="4" fillId="0" borderId="12" xfId="0" applyFont="1" applyBorder="1" applyAlignment="1">
      <alignment horizontal="center" vertical="top" wrapText="1"/>
    </xf>
    <xf numFmtId="0" fontId="4" fillId="0" borderId="16" xfId="0" applyFont="1" applyBorder="1" applyAlignment="1">
      <alignment horizontal="center" vertical="top" wrapText="1"/>
    </xf>
    <xf numFmtId="0" fontId="4" fillId="0" borderId="17" xfId="0" applyFont="1" applyBorder="1"/>
    <xf numFmtId="0" fontId="4" fillId="0" borderId="0" xfId="0" applyFont="1"/>
    <xf numFmtId="0" fontId="6" fillId="0" borderId="0" xfId="0" applyFont="1" applyAlignment="1">
      <alignment vertical="center" wrapText="1"/>
    </xf>
    <xf numFmtId="0" fontId="9" fillId="0" borderId="0" xfId="0" applyFont="1" applyAlignment="1">
      <alignment vertical="center" wrapText="1"/>
    </xf>
    <xf numFmtId="164" fontId="4" fillId="0" borderId="3" xfId="0" applyNumberFormat="1" applyFont="1" applyBorder="1" applyAlignment="1">
      <alignment horizontal="left" vertical="center" wrapText="1"/>
    </xf>
    <xf numFmtId="164" fontId="4" fillId="0" borderId="1" xfId="0" applyNumberFormat="1" applyFont="1" applyBorder="1" applyAlignment="1">
      <alignment horizontal="left" vertical="center" wrapText="1"/>
    </xf>
    <xf numFmtId="0" fontId="10" fillId="0" borderId="22" xfId="0" applyFont="1" applyBorder="1" applyAlignment="1">
      <alignment horizontal="center" vertical="center" wrapText="1"/>
    </xf>
    <xf numFmtId="0" fontId="4" fillId="0" borderId="22" xfId="0" applyFont="1" applyBorder="1" applyAlignment="1">
      <alignment horizontal="center" vertical="center" wrapText="1"/>
    </xf>
    <xf numFmtId="0" fontId="19" fillId="0" borderId="0" xfId="0" applyFont="1" applyAlignment="1">
      <alignment horizontal="right"/>
    </xf>
    <xf numFmtId="0" fontId="4" fillId="0" borderId="22" xfId="0" applyFont="1" applyBorder="1" applyAlignment="1">
      <alignment vertical="center" wrapText="1"/>
    </xf>
    <xf numFmtId="0" fontId="16" fillId="0" borderId="22" xfId="0" applyFont="1" applyBorder="1" applyAlignment="1">
      <alignment vertical="center" wrapText="1"/>
    </xf>
    <xf numFmtId="0" fontId="16" fillId="0" borderId="22" xfId="0" applyFont="1" applyBorder="1" applyAlignment="1">
      <alignment horizontal="center" vertical="center" wrapText="1"/>
    </xf>
    <xf numFmtId="0" fontId="4" fillId="0" borderId="0" xfId="0" applyFont="1" applyAlignment="1">
      <alignment horizontal="right"/>
    </xf>
    <xf numFmtId="0" fontId="16" fillId="0" borderId="0" xfId="0" applyFont="1" applyAlignment="1">
      <alignment vertical="center" wrapText="1"/>
    </xf>
    <xf numFmtId="0" fontId="3" fillId="0" borderId="0" xfId="0" applyFont="1" applyAlignment="1">
      <alignment horizontal="left" vertical="top" wrapText="1"/>
    </xf>
    <xf numFmtId="0" fontId="4" fillId="2" borderId="12" xfId="0" applyFont="1" applyFill="1" applyBorder="1" applyAlignment="1">
      <alignment horizontal="center" vertical="top" wrapText="1"/>
    </xf>
    <xf numFmtId="164" fontId="4" fillId="2" borderId="12" xfId="0" applyNumberFormat="1" applyFont="1" applyFill="1" applyBorder="1" applyAlignment="1">
      <alignment horizontal="center" vertical="top"/>
    </xf>
    <xf numFmtId="0" fontId="10" fillId="0" borderId="0" xfId="0" applyFont="1" applyAlignment="1">
      <alignment vertical="top" wrapText="1"/>
    </xf>
    <xf numFmtId="0" fontId="4" fillId="2" borderId="30" xfId="0" applyFont="1" applyFill="1" applyBorder="1" applyAlignment="1">
      <alignment horizontal="center" vertical="top" wrapText="1"/>
    </xf>
    <xf numFmtId="164" fontId="4" fillId="0" borderId="14" xfId="0" applyNumberFormat="1" applyFont="1" applyBorder="1" applyAlignment="1">
      <alignment horizontal="left" vertical="top" wrapText="1"/>
    </xf>
    <xf numFmtId="0" fontId="4" fillId="0" borderId="2" xfId="0" applyFont="1" applyBorder="1" applyAlignment="1">
      <alignment horizontal="center" vertical="top"/>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164" fontId="4" fillId="0" borderId="1" xfId="0" applyNumberFormat="1" applyFont="1" applyBorder="1" applyAlignment="1">
      <alignment horizontal="left" vertical="top" wrapText="1"/>
    </xf>
    <xf numFmtId="164" fontId="4" fillId="0" borderId="12" xfId="0" applyNumberFormat="1" applyFont="1" applyBorder="1" applyAlignment="1">
      <alignment horizontal="left" vertical="top" wrapText="1"/>
    </xf>
    <xf numFmtId="0" fontId="4" fillId="0" borderId="12" xfId="0" applyFont="1" applyBorder="1"/>
    <xf numFmtId="0" fontId="3" fillId="0" borderId="0" xfId="0" applyFont="1" applyAlignment="1">
      <alignment vertical="top" wrapText="1"/>
    </xf>
    <xf numFmtId="0" fontId="3" fillId="0" borderId="1" xfId="0" applyFont="1" applyBorder="1" applyAlignment="1">
      <alignment horizontal="left" vertical="top"/>
    </xf>
    <xf numFmtId="0" fontId="21" fillId="2" borderId="4" xfId="0" applyFont="1" applyFill="1" applyBorder="1"/>
    <xf numFmtId="0" fontId="4" fillId="0" borderId="2" xfId="0" applyFont="1" applyBorder="1" applyAlignment="1">
      <alignment vertical="top"/>
    </xf>
    <xf numFmtId="0" fontId="21" fillId="0" borderId="12" xfId="0" applyFont="1" applyBorder="1"/>
    <xf numFmtId="0" fontId="21" fillId="0" borderId="16" xfId="0" applyFont="1" applyBorder="1"/>
    <xf numFmtId="0" fontId="20" fillId="6" borderId="17" xfId="0" applyFont="1" applyFill="1" applyBorder="1" applyAlignment="1">
      <alignment horizontal="left" vertical="top" wrapText="1"/>
    </xf>
    <xf numFmtId="164" fontId="4" fillId="0" borderId="3" xfId="0" applyNumberFormat="1" applyFont="1" applyBorder="1" applyAlignment="1">
      <alignment horizontal="left" vertical="top" wrapText="1"/>
    </xf>
    <xf numFmtId="164" fontId="4" fillId="0" borderId="8" xfId="0" applyNumberFormat="1" applyFont="1" applyBorder="1" applyAlignment="1">
      <alignment horizontal="center" vertical="top"/>
    </xf>
    <xf numFmtId="0" fontId="4" fillId="0" borderId="47" xfId="0" applyFont="1" applyBorder="1" applyAlignment="1">
      <alignment horizontal="left" vertical="center" wrapText="1"/>
    </xf>
    <xf numFmtId="0" fontId="3" fillId="5" borderId="0" xfId="0" applyFont="1" applyFill="1" applyAlignment="1">
      <alignment vertical="top" wrapText="1"/>
    </xf>
    <xf numFmtId="0" fontId="3" fillId="5" borderId="0" xfId="0" applyFont="1" applyFill="1"/>
    <xf numFmtId="0" fontId="5" fillId="5" borderId="0" xfId="0" applyFont="1" applyFill="1" applyAlignment="1">
      <alignment vertical="top" wrapText="1"/>
    </xf>
    <xf numFmtId="0" fontId="5" fillId="5" borderId="13" xfId="0" applyFont="1" applyFill="1" applyBorder="1" applyAlignment="1">
      <alignment vertical="top" wrapText="1"/>
    </xf>
    <xf numFmtId="0" fontId="1" fillId="2" borderId="22" xfId="0" applyFont="1" applyFill="1" applyBorder="1" applyAlignment="1">
      <alignment vertical="top" wrapText="1"/>
    </xf>
    <xf numFmtId="0" fontId="4" fillId="0" borderId="0" xfId="0" applyFont="1" applyAlignment="1">
      <alignment horizontal="right" vertical="top"/>
    </xf>
    <xf numFmtId="164" fontId="4" fillId="0" borderId="31" xfId="0" applyNumberFormat="1" applyFont="1" applyBorder="1" applyAlignment="1">
      <alignment horizontal="left" vertical="top" wrapText="1"/>
    </xf>
    <xf numFmtId="164" fontId="4" fillId="0" borderId="10" xfId="0" applyNumberFormat="1" applyFont="1" applyBorder="1" applyAlignment="1">
      <alignment horizontal="left" vertical="top" wrapText="1"/>
    </xf>
    <xf numFmtId="0" fontId="4" fillId="0" borderId="2" xfId="0" applyFont="1" applyBorder="1" applyAlignment="1">
      <alignment horizontal="left" vertical="top" wrapText="1"/>
    </xf>
    <xf numFmtId="0" fontId="4" fillId="0" borderId="14" xfId="0" applyFont="1" applyBorder="1" applyAlignment="1">
      <alignment horizontal="left" vertical="top" wrapText="1"/>
    </xf>
    <xf numFmtId="164" fontId="4" fillId="0" borderId="4" xfId="0" applyNumberFormat="1" applyFont="1" applyBorder="1" applyAlignment="1">
      <alignment horizontal="right" vertical="top" wrapText="1"/>
    </xf>
    <xf numFmtId="0" fontId="4" fillId="0" borderId="1" xfId="0" applyFont="1" applyBorder="1"/>
    <xf numFmtId="0" fontId="4" fillId="0" borderId="8" xfId="0" applyFont="1" applyBorder="1" applyAlignment="1">
      <alignment horizontal="left"/>
    </xf>
    <xf numFmtId="164" fontId="4" fillId="0" borderId="0" xfId="0" applyNumberFormat="1" applyFont="1" applyAlignment="1">
      <alignment horizontal="left" vertical="center" wrapText="1"/>
    </xf>
    <xf numFmtId="164" fontId="4" fillId="0" borderId="18" xfId="0" applyNumberFormat="1" applyFont="1" applyBorder="1" applyAlignment="1">
      <alignment horizontal="right" vertical="top" wrapText="1"/>
    </xf>
    <xf numFmtId="164" fontId="4" fillId="0" borderId="19" xfId="0" applyNumberFormat="1" applyFont="1" applyBorder="1" applyAlignment="1">
      <alignment horizontal="right" vertical="top" wrapText="1"/>
    </xf>
    <xf numFmtId="164" fontId="4" fillId="0" borderId="20" xfId="0" applyNumberFormat="1" applyFont="1" applyBorder="1" applyAlignment="1">
      <alignment horizontal="right" vertical="top" wrapText="1"/>
    </xf>
    <xf numFmtId="0" fontId="4" fillId="0" borderId="10" xfId="0" applyFont="1" applyBorder="1" applyAlignment="1">
      <alignment horizontal="center" vertical="top"/>
    </xf>
    <xf numFmtId="0" fontId="4" fillId="0" borderId="14" xfId="0" applyFont="1" applyBorder="1" applyAlignment="1">
      <alignment horizontal="center" vertical="top"/>
    </xf>
    <xf numFmtId="0" fontId="4" fillId="0" borderId="4" xfId="0" applyFont="1" applyBorder="1" applyAlignment="1">
      <alignment horizontal="center" vertical="top"/>
    </xf>
    <xf numFmtId="0" fontId="4" fillId="0" borderId="6" xfId="0" applyFont="1" applyBorder="1" applyAlignment="1">
      <alignment horizontal="center" vertical="top"/>
    </xf>
    <xf numFmtId="0" fontId="3" fillId="0" borderId="2" xfId="0" applyFont="1" applyBorder="1" applyAlignment="1">
      <alignment horizontal="left" vertical="top" wrapText="1"/>
    </xf>
    <xf numFmtId="0" fontId="3" fillId="0" borderId="10" xfId="0" applyFont="1" applyBorder="1" applyAlignment="1">
      <alignment horizontal="left" vertical="top" wrapText="1"/>
    </xf>
    <xf numFmtId="0" fontId="3" fillId="0" borderId="14" xfId="0" applyFont="1" applyBorder="1" applyAlignment="1">
      <alignment horizontal="left" vertical="top" wrapText="1"/>
    </xf>
    <xf numFmtId="164" fontId="4" fillId="0" borderId="0" xfId="0" applyNumberFormat="1" applyFont="1" applyAlignment="1">
      <alignment horizontal="left" vertical="top" wrapText="1"/>
    </xf>
    <xf numFmtId="164" fontId="4" fillId="0" borderId="12" xfId="0" applyNumberFormat="1" applyFont="1" applyBorder="1" applyAlignment="1">
      <alignment horizontal="left" vertical="center" wrapText="1"/>
    </xf>
    <xf numFmtId="164" fontId="4" fillId="0" borderId="16" xfId="0" applyNumberFormat="1" applyFont="1" applyBorder="1" applyAlignment="1">
      <alignment horizontal="left" vertical="center" wrapText="1"/>
    </xf>
    <xf numFmtId="164" fontId="4" fillId="0" borderId="16" xfId="0" applyNumberFormat="1" applyFont="1" applyBorder="1" applyAlignment="1">
      <alignment horizontal="left" vertical="top" wrapText="1"/>
    </xf>
    <xf numFmtId="0" fontId="4" fillId="0" borderId="0" xfId="0" applyFont="1" applyAlignment="1">
      <alignment horizontal="left" vertical="center" wrapText="1"/>
    </xf>
    <xf numFmtId="0" fontId="4" fillId="0" borderId="17" xfId="0" applyFont="1" applyBorder="1" applyAlignment="1">
      <alignment horizontal="left" vertical="center" wrapText="1"/>
    </xf>
    <xf numFmtId="0" fontId="4" fillId="0" borderId="8" xfId="0" applyFont="1" applyBorder="1" applyAlignment="1">
      <alignment horizontal="left" vertical="center" wrapText="1"/>
    </xf>
    <xf numFmtId="164" fontId="4" fillId="0" borderId="10" xfId="0" applyNumberFormat="1" applyFont="1" applyBorder="1" applyAlignment="1">
      <alignment horizontal="center" vertical="top" wrapText="1"/>
    </xf>
    <xf numFmtId="0" fontId="3" fillId="0" borderId="0" xfId="0" applyFont="1" applyAlignment="1">
      <alignment vertical="top"/>
    </xf>
    <xf numFmtId="0" fontId="20" fillId="6" borderId="0" xfId="0" applyFont="1" applyFill="1" applyAlignment="1">
      <alignment horizontal="left" vertical="top" wrapText="1"/>
    </xf>
    <xf numFmtId="0" fontId="4" fillId="0" borderId="12" xfId="0" applyFont="1" applyBorder="1" applyAlignment="1">
      <alignment horizontal="left" vertical="top"/>
    </xf>
    <xf numFmtId="0" fontId="4" fillId="0" borderId="16" xfId="0" applyFont="1" applyBorder="1" applyAlignment="1">
      <alignment horizontal="left" vertical="top"/>
    </xf>
    <xf numFmtId="0" fontId="4" fillId="0" borderId="12" xfId="0" applyFont="1" applyBorder="1" applyAlignment="1">
      <alignment vertical="top"/>
    </xf>
    <xf numFmtId="0" fontId="21" fillId="0" borderId="2" xfId="0" applyFont="1" applyBorder="1" applyAlignment="1">
      <alignment horizontal="left" vertical="top"/>
    </xf>
    <xf numFmtId="0" fontId="21" fillId="0" borderId="10" xfId="0" applyFont="1" applyBorder="1" applyAlignment="1">
      <alignment horizontal="left" vertical="top"/>
    </xf>
    <xf numFmtId="0" fontId="21" fillId="0" borderId="14" xfId="0" applyFont="1" applyBorder="1" applyAlignment="1">
      <alignment horizontal="left" vertical="top"/>
    </xf>
    <xf numFmtId="0" fontId="21" fillId="0" borderId="6" xfId="0" applyFont="1" applyBorder="1" applyAlignment="1">
      <alignment horizontal="left" vertical="top"/>
    </xf>
    <xf numFmtId="0" fontId="21" fillId="0" borderId="16" xfId="0" applyFont="1" applyBorder="1" applyAlignment="1">
      <alignment horizontal="left" vertical="top"/>
    </xf>
    <xf numFmtId="0" fontId="4" fillId="0" borderId="1" xfId="0" applyFont="1" applyBorder="1" applyAlignment="1">
      <alignment horizontal="left" vertical="top"/>
    </xf>
    <xf numFmtId="0" fontId="4" fillId="0" borderId="4" xfId="0" applyFont="1" applyBorder="1" applyAlignment="1">
      <alignment horizontal="left" vertical="top"/>
    </xf>
    <xf numFmtId="0" fontId="4" fillId="0" borderId="6" xfId="0" applyFont="1" applyBorder="1" applyAlignment="1">
      <alignment horizontal="left" vertical="top"/>
    </xf>
    <xf numFmtId="0" fontId="21" fillId="0" borderId="1" xfId="0" applyFont="1" applyBorder="1" applyAlignment="1">
      <alignment horizontal="left" vertical="top"/>
    </xf>
    <xf numFmtId="0" fontId="21" fillId="0" borderId="12" xfId="0" applyFont="1" applyBorder="1" applyAlignment="1">
      <alignment horizontal="left" vertical="top"/>
    </xf>
    <xf numFmtId="164" fontId="4" fillId="0" borderId="16" xfId="0" applyNumberFormat="1" applyFont="1" applyBorder="1" applyAlignment="1">
      <alignment vertical="top" wrapText="1"/>
    </xf>
    <xf numFmtId="164" fontId="21" fillId="0" borderId="2" xfId="0" applyNumberFormat="1" applyFont="1" applyBorder="1" applyAlignment="1">
      <alignment horizontal="left" vertical="top" wrapText="1"/>
    </xf>
    <xf numFmtId="0" fontId="1" fillId="0" borderId="13" xfId="0" applyFont="1" applyBorder="1" applyAlignment="1">
      <alignment vertical="top" wrapText="1"/>
    </xf>
    <xf numFmtId="0" fontId="3" fillId="5" borderId="12" xfId="0" applyFont="1" applyFill="1" applyBorder="1" applyAlignment="1">
      <alignment horizontal="left" vertical="top"/>
    </xf>
    <xf numFmtId="0" fontId="4" fillId="0" borderId="2" xfId="0" applyFont="1" applyBorder="1" applyAlignment="1">
      <alignment horizontal="left"/>
    </xf>
    <xf numFmtId="0" fontId="4" fillId="0" borderId="10" xfId="0" applyFont="1" applyBorder="1" applyAlignment="1">
      <alignment horizontal="left"/>
    </xf>
    <xf numFmtId="164" fontId="4" fillId="0" borderId="1" xfId="0" applyNumberFormat="1" applyFont="1" applyBorder="1" applyAlignment="1">
      <alignment horizontal="right"/>
    </xf>
    <xf numFmtId="164" fontId="4" fillId="0" borderId="12" xfId="0" applyNumberFormat="1" applyFont="1" applyBorder="1" applyAlignment="1">
      <alignment horizontal="right"/>
    </xf>
    <xf numFmtId="0" fontId="20" fillId="0" borderId="1" xfId="0" applyFont="1" applyBorder="1" applyAlignment="1">
      <alignment horizontal="right" vertical="top"/>
    </xf>
    <xf numFmtId="0" fontId="20" fillId="0" borderId="12" xfId="0" applyFont="1" applyBorder="1" applyAlignment="1">
      <alignment horizontal="right" vertical="top"/>
    </xf>
    <xf numFmtId="0" fontId="4" fillId="0" borderId="30" xfId="0" applyFont="1" applyBorder="1" applyAlignment="1">
      <alignment vertical="center" wrapText="1"/>
    </xf>
    <xf numFmtId="0" fontId="20" fillId="6" borderId="12" xfId="0" applyFont="1" applyFill="1" applyBorder="1" applyAlignment="1">
      <alignment horizontal="left" vertical="top" wrapText="1"/>
    </xf>
    <xf numFmtId="0" fontId="4" fillId="0" borderId="10" xfId="0" applyFont="1" applyBorder="1"/>
    <xf numFmtId="0" fontId="4" fillId="0" borderId="16" xfId="0" applyFont="1" applyBorder="1"/>
    <xf numFmtId="0" fontId="4" fillId="0" borderId="14" xfId="0" applyFont="1" applyBorder="1"/>
    <xf numFmtId="164" fontId="1" fillId="0" borderId="0" xfId="0" applyNumberFormat="1" applyFont="1" applyAlignment="1">
      <alignment horizontal="left" vertical="top" wrapText="1"/>
    </xf>
    <xf numFmtId="0" fontId="5" fillId="0" borderId="0" xfId="0" applyFont="1" applyAlignment="1">
      <alignment horizontal="left" vertical="top"/>
    </xf>
    <xf numFmtId="164" fontId="4" fillId="0" borderId="8" xfId="0" applyNumberFormat="1" applyFont="1" applyBorder="1" applyAlignment="1">
      <alignment vertical="top" wrapText="1"/>
    </xf>
    <xf numFmtId="164" fontId="4" fillId="0" borderId="17" xfId="0" applyNumberFormat="1" applyFont="1" applyBorder="1" applyAlignment="1">
      <alignment vertical="top" wrapText="1"/>
    </xf>
    <xf numFmtId="0" fontId="9" fillId="0" borderId="1" xfId="0" applyFont="1" applyBorder="1" applyAlignment="1">
      <alignment horizontal="right" vertical="top" wrapText="1"/>
    </xf>
    <xf numFmtId="0" fontId="9" fillId="0" borderId="12" xfId="0" applyFont="1" applyBorder="1" applyAlignment="1">
      <alignment horizontal="right" vertical="top" wrapText="1"/>
    </xf>
    <xf numFmtId="0" fontId="9" fillId="0" borderId="16" xfId="0" applyFont="1" applyBorder="1" applyAlignment="1">
      <alignment horizontal="right" vertical="top" wrapText="1"/>
    </xf>
    <xf numFmtId="0" fontId="9" fillId="0" borderId="17" xfId="0" applyFont="1" applyBorder="1" applyAlignment="1">
      <alignment horizontal="left" vertical="top" wrapText="1"/>
    </xf>
    <xf numFmtId="0" fontId="9" fillId="0" borderId="14" xfId="0" applyFont="1" applyBorder="1" applyAlignment="1">
      <alignment horizontal="left" vertical="top" wrapText="1"/>
    </xf>
    <xf numFmtId="20" fontId="0" fillId="0" borderId="0" xfId="0" applyNumberFormat="1"/>
    <xf numFmtId="0" fontId="4" fillId="0" borderId="5" xfId="0" applyFont="1" applyBorder="1" applyAlignment="1">
      <alignment horizontal="center" vertical="top"/>
    </xf>
    <xf numFmtId="0" fontId="3" fillId="2" borderId="17" xfId="0" applyFont="1" applyFill="1" applyBorder="1" applyAlignment="1">
      <alignment horizontal="center" vertical="top" wrapText="1"/>
    </xf>
    <xf numFmtId="0" fontId="21" fillId="0" borderId="0" xfId="0" applyFont="1"/>
    <xf numFmtId="164" fontId="4" fillId="0" borderId="8" xfId="0" applyNumberFormat="1" applyFont="1" applyBorder="1" applyAlignment="1">
      <alignment horizontal="left" vertical="center" wrapText="1"/>
    </xf>
    <xf numFmtId="0" fontId="4" fillId="0" borderId="13" xfId="0" applyFont="1" applyBorder="1" applyAlignment="1">
      <alignment vertical="top" wrapText="1"/>
    </xf>
    <xf numFmtId="0" fontId="4" fillId="0" borderId="5" xfId="0" applyFont="1" applyBorder="1" applyAlignment="1">
      <alignment vertical="top" wrapText="1"/>
    </xf>
    <xf numFmtId="0" fontId="4" fillId="0" borderId="22" xfId="0" applyFont="1" applyBorder="1" applyAlignment="1">
      <alignment horizontal="left" vertical="top"/>
    </xf>
    <xf numFmtId="0" fontId="24" fillId="0" borderId="0" xfId="0" applyFont="1"/>
    <xf numFmtId="0" fontId="4" fillId="0" borderId="1" xfId="0" applyFont="1" applyBorder="1" applyAlignment="1">
      <alignment horizontal="left" vertical="top" wrapText="1"/>
    </xf>
    <xf numFmtId="164" fontId="4" fillId="0" borderId="2" xfId="0" applyNumberFormat="1" applyFont="1" applyBorder="1" applyAlignment="1">
      <alignment horizontal="left" vertical="top" wrapText="1"/>
    </xf>
    <xf numFmtId="0" fontId="4" fillId="0" borderId="6" xfId="0" applyFont="1" applyBorder="1" applyAlignment="1">
      <alignment horizontal="left" vertical="top" wrapText="1"/>
    </xf>
    <xf numFmtId="0" fontId="4" fillId="2" borderId="5" xfId="0" applyFont="1" applyFill="1" applyBorder="1" applyAlignment="1">
      <alignment horizontal="center" vertical="top" wrapText="1"/>
    </xf>
    <xf numFmtId="0" fontId="21" fillId="0" borderId="1" xfId="0" applyFont="1" applyBorder="1"/>
    <xf numFmtId="164" fontId="9" fillId="0" borderId="2" xfId="0" applyNumberFormat="1" applyFont="1" applyBorder="1" applyAlignment="1">
      <alignment horizontal="left" vertical="top" wrapText="1"/>
    </xf>
    <xf numFmtId="164" fontId="9" fillId="0" borderId="10" xfId="0" applyNumberFormat="1" applyFont="1" applyBorder="1" applyAlignment="1">
      <alignment horizontal="left" vertical="top" wrapText="1"/>
    </xf>
    <xf numFmtId="0" fontId="1" fillId="0" borderId="3" xfId="0" applyFont="1" applyBorder="1" applyAlignment="1">
      <alignment vertical="top" wrapText="1"/>
    </xf>
    <xf numFmtId="0" fontId="4" fillId="0" borderId="2" xfId="0" applyFont="1" applyBorder="1"/>
    <xf numFmtId="0" fontId="4" fillId="0" borderId="8" xfId="0" applyFont="1" applyBorder="1" applyAlignment="1">
      <alignment vertical="center" wrapText="1"/>
    </xf>
    <xf numFmtId="0" fontId="4" fillId="0" borderId="2" xfId="0" applyFont="1" applyBorder="1" applyAlignment="1">
      <alignment wrapText="1"/>
    </xf>
    <xf numFmtId="0" fontId="4" fillId="0" borderId="12" xfId="0" applyFont="1" applyBorder="1" applyAlignment="1">
      <alignment vertical="center" wrapText="1"/>
    </xf>
    <xf numFmtId="0" fontId="4" fillId="0" borderId="10" xfId="0" applyFont="1" applyBorder="1" applyAlignment="1">
      <alignment wrapText="1"/>
    </xf>
    <xf numFmtId="0" fontId="20" fillId="0" borderId="0" xfId="0" applyFont="1"/>
    <xf numFmtId="0" fontId="20" fillId="7" borderId="39" xfId="0" applyFont="1" applyFill="1" applyBorder="1" applyAlignment="1">
      <alignment horizontal="right" vertical="top"/>
    </xf>
    <xf numFmtId="0" fontId="4" fillId="7" borderId="40" xfId="0" applyFont="1" applyFill="1" applyBorder="1" applyAlignment="1">
      <alignment horizontal="left" vertical="top" wrapText="1"/>
    </xf>
    <xf numFmtId="0" fontId="1" fillId="7" borderId="39" xfId="0" applyFont="1" applyFill="1" applyBorder="1" applyAlignment="1">
      <alignment vertical="center" wrapText="1"/>
    </xf>
    <xf numFmtId="0" fontId="1" fillId="7" borderId="43" xfId="0" applyFont="1" applyFill="1" applyBorder="1" applyAlignment="1">
      <alignment horizontal="center" vertical="top" wrapText="1"/>
    </xf>
    <xf numFmtId="0" fontId="21" fillId="0" borderId="0" xfId="0" applyFont="1" applyAlignment="1">
      <alignment horizontal="center" vertical="top" wrapText="1"/>
    </xf>
    <xf numFmtId="0" fontId="20" fillId="0" borderId="16" xfId="0" applyFont="1" applyBorder="1" applyAlignment="1">
      <alignment horizontal="right" vertical="top"/>
    </xf>
    <xf numFmtId="0" fontId="20" fillId="0" borderId="0" xfId="0" applyFont="1" applyAlignment="1">
      <alignment horizontal="right" vertical="top"/>
    </xf>
    <xf numFmtId="0" fontId="20" fillId="7" borderId="27" xfId="0" applyFont="1" applyFill="1" applyBorder="1" applyAlignment="1">
      <alignment horizontal="right" vertical="top"/>
    </xf>
    <xf numFmtId="0" fontId="4" fillId="7" borderId="30" xfId="0" applyFont="1" applyFill="1" applyBorder="1" applyAlignment="1">
      <alignment horizontal="left" vertical="top" wrapText="1"/>
    </xf>
    <xf numFmtId="0" fontId="1" fillId="7" borderId="44" xfId="0" applyFont="1" applyFill="1" applyBorder="1" applyAlignment="1">
      <alignment horizontal="left" vertical="top" wrapText="1"/>
    </xf>
    <xf numFmtId="0" fontId="10" fillId="0" borderId="16" xfId="0" applyFont="1" applyBorder="1" applyAlignment="1">
      <alignment horizontal="left" vertical="top" wrapText="1"/>
    </xf>
    <xf numFmtId="0" fontId="21" fillId="0" borderId="9" xfId="0" applyFont="1" applyBorder="1"/>
    <xf numFmtId="0" fontId="4" fillId="0" borderId="12" xfId="0" applyFont="1" applyBorder="1" applyAlignment="1">
      <alignment horizontal="right"/>
    </xf>
    <xf numFmtId="0" fontId="4" fillId="0" borderId="16" xfId="0" applyFont="1" applyBorder="1" applyAlignment="1">
      <alignment horizontal="right"/>
    </xf>
    <xf numFmtId="0" fontId="4" fillId="0" borderId="14" xfId="0" applyFont="1" applyBorder="1" applyAlignment="1">
      <alignment horizontal="left"/>
    </xf>
    <xf numFmtId="0" fontId="21" fillId="0" borderId="0" xfId="0" applyFont="1" applyAlignment="1">
      <alignment wrapText="1"/>
    </xf>
    <xf numFmtId="0" fontId="21" fillId="0" borderId="0" xfId="0" applyFont="1" applyAlignment="1">
      <alignment horizontal="right" vertical="top"/>
    </xf>
    <xf numFmtId="0" fontId="21" fillId="0" borderId="0" xfId="0" applyFont="1" applyAlignment="1">
      <alignment horizontal="left" vertical="top"/>
    </xf>
    <xf numFmtId="0" fontId="21" fillId="0" borderId="0" xfId="0" applyFont="1" applyAlignment="1">
      <alignment horizontal="right"/>
    </xf>
    <xf numFmtId="0" fontId="21" fillId="0" borderId="0" xfId="0" applyFont="1" applyAlignment="1">
      <alignment vertical="top"/>
    </xf>
    <xf numFmtId="0" fontId="21" fillId="0" borderId="2" xfId="0" applyFont="1" applyBorder="1"/>
    <xf numFmtId="0" fontId="27" fillId="0" borderId="55" xfId="0" applyFont="1" applyBorder="1" applyAlignment="1" applyProtection="1">
      <alignment vertical="top"/>
      <protection locked="0"/>
    </xf>
    <xf numFmtId="0" fontId="21"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top" wrapText="1"/>
    </xf>
    <xf numFmtId="0" fontId="4" fillId="2" borderId="5" xfId="0" applyFont="1" applyFill="1" applyBorder="1" applyAlignment="1">
      <alignment horizontal="left" vertical="top" wrapText="1"/>
    </xf>
    <xf numFmtId="0" fontId="4" fillId="4" borderId="12" xfId="0" applyFont="1" applyFill="1" applyBorder="1" applyAlignment="1">
      <alignment horizontal="left" vertical="top" wrapText="1"/>
    </xf>
    <xf numFmtId="0" fontId="4" fillId="0" borderId="9" xfId="0" applyFont="1" applyBorder="1" applyAlignment="1">
      <alignment horizontal="center" vertical="center" wrapText="1"/>
    </xf>
    <xf numFmtId="0" fontId="1" fillId="0" borderId="0" xfId="0" applyFont="1" applyAlignment="1">
      <alignment horizontal="center" vertical="center" wrapText="1"/>
    </xf>
    <xf numFmtId="0" fontId="4" fillId="0" borderId="9" xfId="0" quotePrefix="1" applyFont="1" applyBorder="1" applyAlignment="1">
      <alignment horizontal="center" vertical="center"/>
    </xf>
    <xf numFmtId="0" fontId="4" fillId="0" borderId="13" xfId="0" quotePrefix="1" applyFont="1" applyBorder="1" applyAlignment="1">
      <alignment horizontal="center" vertical="center"/>
    </xf>
    <xf numFmtId="0" fontId="4" fillId="0" borderId="25" xfId="0" applyFont="1" applyBorder="1" applyAlignment="1">
      <alignment horizontal="left" vertical="top" wrapText="1"/>
    </xf>
    <xf numFmtId="0" fontId="4" fillId="0" borderId="23" xfId="0" applyFont="1" applyBorder="1" applyAlignment="1">
      <alignment vertical="top" wrapText="1"/>
    </xf>
    <xf numFmtId="164" fontId="4" fillId="0" borderId="4" xfId="0" applyNumberFormat="1" applyFont="1" applyBorder="1" applyAlignment="1">
      <alignment horizontal="center" vertical="top" wrapText="1"/>
    </xf>
    <xf numFmtId="164" fontId="4" fillId="0" borderId="5" xfId="0" applyNumberFormat="1" applyFont="1" applyBorder="1" applyAlignment="1">
      <alignment horizontal="center" vertical="top" wrapText="1"/>
    </xf>
    <xf numFmtId="0" fontId="21" fillId="0" borderId="10" xfId="0" applyFont="1" applyBorder="1" applyAlignment="1">
      <alignment horizontal="left"/>
    </xf>
    <xf numFmtId="0" fontId="4" fillId="0" borderId="45" xfId="0" applyFont="1" applyBorder="1" applyAlignment="1">
      <alignment horizontal="left" vertical="center" wrapText="1"/>
    </xf>
    <xf numFmtId="0" fontId="21" fillId="0" borderId="2" xfId="0" applyFont="1" applyBorder="1" applyAlignment="1">
      <alignment horizontal="left"/>
    </xf>
    <xf numFmtId="0" fontId="21" fillId="0" borderId="16" xfId="0" applyFont="1" applyBorder="1" applyAlignment="1">
      <alignment horizontal="right"/>
    </xf>
    <xf numFmtId="0" fontId="21" fillId="0" borderId="14" xfId="0" applyFont="1" applyBorder="1" applyAlignment="1">
      <alignment horizontal="left"/>
    </xf>
    <xf numFmtId="0" fontId="4" fillId="0" borderId="3" xfId="0" applyFont="1" applyBorder="1" applyAlignment="1">
      <alignment horizontal="left" vertical="top"/>
    </xf>
    <xf numFmtId="0" fontId="20" fillId="0" borderId="0" xfId="0" applyFont="1" applyAlignment="1">
      <alignment horizontal="left" vertical="top"/>
    </xf>
    <xf numFmtId="0" fontId="20" fillId="0" borderId="22" xfId="0" applyFont="1" applyBorder="1" applyAlignment="1">
      <alignment horizontal="left" vertical="top"/>
    </xf>
    <xf numFmtId="0" fontId="4" fillId="0" borderId="12" xfId="0" applyFont="1" applyBorder="1" applyAlignment="1">
      <alignment horizontal="left" vertical="top" wrapText="1"/>
    </xf>
    <xf numFmtId="0" fontId="4" fillId="0" borderId="16" xfId="0" applyFont="1" applyBorder="1" applyAlignment="1">
      <alignment horizontal="left" vertical="top" wrapText="1"/>
    </xf>
    <xf numFmtId="0" fontId="4" fillId="0" borderId="3"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2" borderId="4" xfId="0" applyFont="1" applyFill="1" applyBorder="1" applyAlignment="1">
      <alignment horizontal="center" vertical="top" wrapText="1"/>
    </xf>
    <xf numFmtId="164" fontId="4" fillId="0" borderId="14" xfId="0" applyNumberFormat="1" applyFont="1" applyBorder="1" applyAlignment="1">
      <alignment horizontal="left" vertical="top"/>
    </xf>
    <xf numFmtId="0" fontId="1" fillId="2" borderId="1" xfId="0" applyFont="1" applyFill="1" applyBorder="1" applyAlignment="1">
      <alignment horizontal="center" vertical="top" wrapText="1"/>
    </xf>
    <xf numFmtId="0" fontId="1" fillId="2" borderId="6" xfId="0" applyFont="1" applyFill="1" applyBorder="1" applyAlignment="1">
      <alignment horizontal="left" vertical="top" wrapText="1"/>
    </xf>
    <xf numFmtId="0" fontId="4" fillId="0" borderId="17" xfId="0" applyFont="1" applyBorder="1" applyAlignment="1">
      <alignment horizontal="left" vertical="top" wrapText="1"/>
    </xf>
    <xf numFmtId="0" fontId="4" fillId="0" borderId="12" xfId="0" applyFont="1" applyBorder="1" applyAlignment="1">
      <alignment horizontal="center" vertical="center" wrapText="1"/>
    </xf>
    <xf numFmtId="0" fontId="4" fillId="0" borderId="13" xfId="0" applyFont="1" applyBorder="1" applyAlignment="1">
      <alignment horizontal="left" vertical="top" wrapText="1"/>
    </xf>
    <xf numFmtId="0" fontId="4" fillId="0" borderId="9" xfId="0" applyFont="1" applyBorder="1" applyAlignment="1">
      <alignment horizontal="center" vertical="top" wrapText="1"/>
    </xf>
    <xf numFmtId="0" fontId="3" fillId="0" borderId="12" xfId="0" applyFont="1" applyBorder="1" applyAlignment="1">
      <alignment horizontal="left" vertical="top" wrapText="1"/>
    </xf>
    <xf numFmtId="0" fontId="3" fillId="0" borderId="16" xfId="0" applyFont="1" applyBorder="1" applyAlignment="1">
      <alignment horizontal="left" vertical="top" wrapText="1"/>
    </xf>
    <xf numFmtId="0" fontId="4" fillId="2" borderId="17" xfId="0" applyFont="1" applyFill="1" applyBorder="1" applyAlignment="1">
      <alignment horizontal="left" vertical="top" wrapText="1"/>
    </xf>
    <xf numFmtId="0" fontId="4" fillId="0" borderId="13" xfId="0" applyFont="1" applyBorder="1" applyAlignment="1">
      <alignment horizontal="center" vertical="top" wrapText="1"/>
    </xf>
    <xf numFmtId="0" fontId="0" fillId="0" borderId="16" xfId="0" applyBorder="1" applyAlignment="1">
      <alignment wrapText="1"/>
    </xf>
    <xf numFmtId="0" fontId="0" fillId="0" borderId="0" xfId="0" applyAlignment="1">
      <alignment wrapText="1"/>
    </xf>
    <xf numFmtId="0" fontId="29" fillId="0" borderId="12" xfId="0" applyFont="1" applyBorder="1" applyAlignment="1">
      <alignment horizontal="left" vertical="center" wrapText="1"/>
    </xf>
    <xf numFmtId="0" fontId="3" fillId="0" borderId="9" xfId="0" applyFont="1" applyBorder="1" applyAlignment="1">
      <alignment vertical="center" wrapText="1"/>
    </xf>
    <xf numFmtId="0" fontId="3" fillId="0" borderId="4" xfId="0" applyFont="1" applyBorder="1" applyAlignment="1">
      <alignment horizontal="left" vertical="top" wrapText="1"/>
    </xf>
    <xf numFmtId="0" fontId="3" fillId="0" borderId="22" xfId="0" applyFont="1" applyBorder="1" applyAlignment="1">
      <alignment vertical="center" wrapText="1"/>
    </xf>
    <xf numFmtId="0" fontId="29" fillId="0" borderId="0" xfId="0" applyFont="1" applyAlignment="1">
      <alignment wrapText="1"/>
    </xf>
    <xf numFmtId="0" fontId="4" fillId="0" borderId="17" xfId="0" applyFont="1" applyBorder="1" applyAlignment="1">
      <alignment vertical="top" wrapText="1"/>
    </xf>
    <xf numFmtId="164" fontId="26" fillId="0" borderId="16" xfId="0" applyNumberFormat="1" applyFont="1" applyBorder="1" applyAlignment="1">
      <alignment horizontal="left" vertical="top" wrapText="1"/>
    </xf>
    <xf numFmtId="164" fontId="9" fillId="0" borderId="14" xfId="0" applyNumberFormat="1" applyFont="1" applyBorder="1" applyAlignment="1">
      <alignment horizontal="left" vertical="top" wrapText="1"/>
    </xf>
    <xf numFmtId="164" fontId="4" fillId="0" borderId="12" xfId="0" applyNumberFormat="1" applyFont="1" applyBorder="1" applyAlignment="1">
      <alignment horizontal="right" vertical="center" wrapText="1"/>
    </xf>
    <xf numFmtId="0" fontId="4" fillId="0" borderId="10" xfId="0" applyFont="1" applyBorder="1" applyAlignment="1">
      <alignment horizontal="left" vertical="center" wrapText="1"/>
    </xf>
    <xf numFmtId="0" fontId="31" fillId="0" borderId="0" xfId="0" applyFont="1" applyAlignment="1">
      <alignment horizontal="justify" vertical="center"/>
    </xf>
    <xf numFmtId="0" fontId="32" fillId="0" borderId="0" xfId="0" applyFont="1" applyAlignment="1">
      <alignment horizontal="justify" vertical="center"/>
    </xf>
    <xf numFmtId="0" fontId="33" fillId="0" borderId="0" xfId="0" applyFont="1" applyAlignment="1">
      <alignment horizontal="justify" vertical="center"/>
    </xf>
    <xf numFmtId="0" fontId="35" fillId="0" borderId="0" xfId="0" applyFont="1" applyAlignment="1">
      <alignment horizontal="justify" vertical="center"/>
    </xf>
    <xf numFmtId="0" fontId="0" fillId="0" borderId="0" xfId="0" applyAlignment="1">
      <alignment vertical="center"/>
    </xf>
    <xf numFmtId="0" fontId="37" fillId="0" borderId="0" xfId="0" applyFont="1"/>
    <xf numFmtId="0" fontId="40" fillId="0" borderId="22" xfId="0" applyFont="1" applyBorder="1" applyAlignment="1">
      <alignment vertical="center" wrapText="1"/>
    </xf>
    <xf numFmtId="0" fontId="39" fillId="0" borderId="9" xfId="0" applyFont="1" applyBorder="1" applyAlignment="1">
      <alignment vertical="top" wrapText="1"/>
    </xf>
    <xf numFmtId="164" fontId="4" fillId="0" borderId="0" xfId="0" applyNumberFormat="1" applyFont="1" applyAlignment="1">
      <alignment horizontal="left"/>
    </xf>
    <xf numFmtId="0" fontId="4" fillId="0" borderId="8" xfId="0" applyFont="1" applyBorder="1" applyAlignment="1">
      <alignment vertical="top" wrapText="1"/>
    </xf>
    <xf numFmtId="0" fontId="1" fillId="0" borderId="12" xfId="0" applyFont="1" applyBorder="1" applyAlignment="1">
      <alignment horizontal="left" vertical="top" wrapText="1"/>
    </xf>
    <xf numFmtId="164" fontId="21" fillId="0" borderId="10" xfId="0" applyNumberFormat="1" applyFont="1" applyBorder="1" applyAlignment="1">
      <alignment horizontal="left" vertical="top" wrapText="1"/>
    </xf>
    <xf numFmtId="0" fontId="1" fillId="0" borderId="9" xfId="0" applyFont="1" applyBorder="1" applyAlignment="1">
      <alignment horizontal="left" vertical="top" wrapText="1"/>
    </xf>
    <xf numFmtId="0" fontId="1" fillId="0" borderId="1" xfId="0" applyFont="1" applyBorder="1" applyAlignment="1">
      <alignment horizontal="left" vertical="top" wrapText="1"/>
    </xf>
    <xf numFmtId="164" fontId="21" fillId="0" borderId="14" xfId="0" applyNumberFormat="1" applyFont="1" applyBorder="1" applyAlignment="1">
      <alignment horizontal="left" vertical="top" wrapText="1"/>
    </xf>
    <xf numFmtId="164" fontId="26" fillId="0" borderId="1" xfId="0" applyNumberFormat="1" applyFont="1" applyBorder="1" applyAlignment="1">
      <alignment horizontal="left" vertical="top" wrapText="1"/>
    </xf>
    <xf numFmtId="164" fontId="26" fillId="0" borderId="12" xfId="0" applyNumberFormat="1" applyFont="1" applyBorder="1" applyAlignment="1">
      <alignment horizontal="left" vertical="top" wrapText="1"/>
    </xf>
    <xf numFmtId="164" fontId="9" fillId="0" borderId="6" xfId="0" applyNumberFormat="1"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2" borderId="10" xfId="0" applyFont="1" applyFill="1" applyBorder="1" applyAlignment="1">
      <alignment horizontal="center" vertical="top"/>
    </xf>
    <xf numFmtId="0" fontId="4" fillId="0" borderId="40" xfId="0" applyFont="1" applyBorder="1" applyAlignment="1">
      <alignment horizontal="left" vertical="top" wrapText="1"/>
    </xf>
    <xf numFmtId="0" fontId="4" fillId="2" borderId="6" xfId="0" applyFont="1" applyFill="1" applyBorder="1" applyAlignment="1">
      <alignment horizontal="left" vertical="top" wrapText="1"/>
    </xf>
    <xf numFmtId="164" fontId="4" fillId="0" borderId="8" xfId="0" applyNumberFormat="1" applyFont="1" applyBorder="1" applyAlignment="1">
      <alignment horizontal="left" vertical="top" wrapText="1"/>
    </xf>
    <xf numFmtId="0" fontId="4" fillId="0" borderId="17" xfId="0" applyFont="1" applyBorder="1" applyAlignment="1">
      <alignment horizontal="center" vertical="top" wrapText="1"/>
    </xf>
    <xf numFmtId="2" fontId="4" fillId="0" borderId="0" xfId="0" applyNumberFormat="1" applyFont="1" applyAlignment="1">
      <alignment horizontal="left" vertical="top" wrapText="1"/>
    </xf>
    <xf numFmtId="2" fontId="1" fillId="0" borderId="0" xfId="0" applyNumberFormat="1" applyFont="1" applyAlignment="1">
      <alignment horizontal="left" vertical="top" wrapText="1"/>
    </xf>
    <xf numFmtId="2" fontId="1" fillId="0" borderId="17" xfId="0" applyNumberFormat="1" applyFont="1" applyBorder="1" applyAlignment="1">
      <alignment horizontal="left" vertical="top" wrapText="1"/>
    </xf>
    <xf numFmtId="0" fontId="21" fillId="0" borderId="14" xfId="0" applyFont="1" applyBorder="1"/>
    <xf numFmtId="0" fontId="21" fillId="0" borderId="10" xfId="0" applyFont="1" applyBorder="1"/>
    <xf numFmtId="0" fontId="21" fillId="0" borderId="4" xfId="0" applyFont="1" applyBorder="1"/>
    <xf numFmtId="0" fontId="21" fillId="0" borderId="6" xfId="0" applyFont="1" applyBorder="1"/>
    <xf numFmtId="0" fontId="4" fillId="0" borderId="9" xfId="0" applyFont="1" applyBorder="1"/>
    <xf numFmtId="0" fontId="4" fillId="0" borderId="3" xfId="0" applyFont="1" applyBorder="1"/>
    <xf numFmtId="2" fontId="4" fillId="0" borderId="10" xfId="0" applyNumberFormat="1" applyFont="1" applyBorder="1" applyAlignment="1">
      <alignment horizontal="left" vertical="top" wrapText="1"/>
    </xf>
    <xf numFmtId="2" fontId="4" fillId="0" borderId="14" xfId="0" applyNumberFormat="1" applyFont="1" applyBorder="1" applyAlignment="1">
      <alignment horizontal="left" vertical="top" wrapText="1"/>
    </xf>
    <xf numFmtId="0" fontId="4" fillId="0" borderId="16" xfId="0" applyFont="1" applyBorder="1" applyAlignment="1">
      <alignment vertical="top"/>
    </xf>
    <xf numFmtId="0" fontId="14" fillId="0" borderId="1" xfId="0" applyFont="1" applyBorder="1" applyAlignment="1">
      <alignment vertical="top"/>
    </xf>
    <xf numFmtId="0" fontId="3" fillId="0" borderId="10" xfId="0" applyFont="1" applyBorder="1" applyAlignment="1">
      <alignment vertical="top" wrapText="1"/>
    </xf>
    <xf numFmtId="0" fontId="4" fillId="0" borderId="56" xfId="0" applyFont="1" applyBorder="1" applyAlignment="1">
      <alignment horizontal="left" vertical="center" wrapText="1"/>
    </xf>
    <xf numFmtId="0" fontId="4" fillId="0" borderId="49" xfId="0" applyFont="1" applyBorder="1" applyAlignment="1">
      <alignment horizontal="left" vertical="center" wrapText="1"/>
    </xf>
    <xf numFmtId="0" fontId="2" fillId="7" borderId="39" xfId="0" applyFont="1" applyFill="1" applyBorder="1" applyAlignment="1">
      <alignment horizontal="left" vertical="top" wrapText="1"/>
    </xf>
    <xf numFmtId="0" fontId="2" fillId="7" borderId="40" xfId="0" applyFont="1" applyFill="1" applyBorder="1" applyAlignment="1">
      <alignment horizontal="left" vertical="top" wrapText="1"/>
    </xf>
    <xf numFmtId="0" fontId="2" fillId="7" borderId="57" xfId="0" applyFont="1" applyFill="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164" fontId="4" fillId="0" borderId="2" xfId="0" applyNumberFormat="1" applyFont="1" applyBorder="1" applyAlignment="1">
      <alignment horizontal="left" vertical="top" wrapText="1"/>
    </xf>
    <xf numFmtId="164" fontId="21" fillId="0" borderId="14" xfId="0" applyNumberFormat="1" applyFont="1" applyBorder="1" applyAlignment="1">
      <alignment horizontal="left" vertical="top" wrapText="1"/>
    </xf>
    <xf numFmtId="164" fontId="4" fillId="0" borderId="4" xfId="0" applyNumberFormat="1" applyFont="1" applyBorder="1" applyAlignment="1">
      <alignment horizontal="left" vertical="top"/>
    </xf>
    <xf numFmtId="164" fontId="4" fillId="0" borderId="6" xfId="0" applyNumberFormat="1" applyFont="1" applyBorder="1" applyAlignment="1">
      <alignment horizontal="left" vertical="top"/>
    </xf>
    <xf numFmtId="0" fontId="4" fillId="2" borderId="4" xfId="0" applyFont="1" applyFill="1" applyBorder="1" applyAlignment="1">
      <alignment horizontal="center" vertical="top" wrapText="1"/>
    </xf>
    <xf numFmtId="0" fontId="4" fillId="2" borderId="6" xfId="0" applyFont="1" applyFill="1" applyBorder="1" applyAlignment="1">
      <alignment horizontal="center" vertical="top" wrapText="1"/>
    </xf>
    <xf numFmtId="164" fontId="4" fillId="0" borderId="1" xfId="0" applyNumberFormat="1" applyFont="1" applyBorder="1" applyAlignment="1">
      <alignment horizontal="left" vertical="top"/>
    </xf>
    <xf numFmtId="164" fontId="4" fillId="0" borderId="2" xfId="0" applyNumberFormat="1" applyFont="1" applyBorder="1" applyAlignment="1">
      <alignment horizontal="left" vertical="top"/>
    </xf>
    <xf numFmtId="164" fontId="4" fillId="0" borderId="16" xfId="0" applyNumberFormat="1" applyFont="1" applyBorder="1" applyAlignment="1">
      <alignment horizontal="left" vertical="top"/>
    </xf>
    <xf numFmtId="164" fontId="4" fillId="0" borderId="14" xfId="0" applyNumberFormat="1" applyFont="1" applyBorder="1" applyAlignment="1">
      <alignment horizontal="left" vertical="top"/>
    </xf>
    <xf numFmtId="0" fontId="4" fillId="0" borderId="2" xfId="0" applyFont="1" applyBorder="1" applyAlignment="1">
      <alignment horizontal="left" vertical="top" wrapText="1"/>
    </xf>
    <xf numFmtId="0" fontId="4" fillId="0" borderId="9" xfId="0" applyFont="1" applyBorder="1" applyAlignment="1">
      <alignment horizontal="left" vertical="top" wrapText="1"/>
    </xf>
    <xf numFmtId="0" fontId="4" fillId="0" borderId="13" xfId="0" applyFont="1" applyBorder="1" applyAlignment="1">
      <alignment horizontal="left" vertical="top" wrapText="1"/>
    </xf>
    <xf numFmtId="0" fontId="4" fillId="2" borderId="12" xfId="0" applyFont="1" applyFill="1" applyBorder="1" applyAlignment="1">
      <alignment horizontal="left" vertical="top" wrapText="1"/>
    </xf>
    <xf numFmtId="0" fontId="4" fillId="2" borderId="0" xfId="0" applyFont="1" applyFill="1" applyAlignment="1">
      <alignment horizontal="left" vertical="top"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6" fillId="0" borderId="17" xfId="0" quotePrefix="1" applyFont="1" applyBorder="1" applyAlignment="1">
      <alignment horizontal="left" vertical="center" wrapText="1"/>
    </xf>
    <xf numFmtId="0" fontId="6" fillId="0" borderId="5" xfId="0" applyFont="1" applyBorder="1" applyAlignment="1">
      <alignment horizontal="left" vertical="center" wrapText="1"/>
    </xf>
    <xf numFmtId="0" fontId="1" fillId="0" borderId="12" xfId="0" applyFont="1" applyBorder="1" applyAlignment="1">
      <alignment horizontal="left" vertical="top" wrapText="1"/>
    </xf>
    <xf numFmtId="0" fontId="1" fillId="0" borderId="10" xfId="0" applyFont="1" applyBorder="1" applyAlignment="1">
      <alignment horizontal="left" vertical="top" wrapText="1"/>
    </xf>
    <xf numFmtId="0" fontId="4" fillId="0" borderId="4" xfId="0" applyFont="1" applyBorder="1" applyAlignment="1">
      <alignment horizontal="left" vertical="top" wrapText="1"/>
    </xf>
    <xf numFmtId="0" fontId="4" fillId="0" borderId="6" xfId="0" applyFont="1" applyBorder="1" applyAlignment="1">
      <alignment horizontal="left" vertical="top" wrapText="1"/>
    </xf>
    <xf numFmtId="0" fontId="4" fillId="0" borderId="16" xfId="0" applyFont="1" applyBorder="1" applyAlignment="1">
      <alignment horizontal="left" vertical="top" wrapText="1"/>
    </xf>
    <xf numFmtId="0" fontId="4" fillId="0" borderId="14" xfId="0" applyFont="1" applyBorder="1" applyAlignment="1">
      <alignment horizontal="left" vertical="top" wrapText="1"/>
    </xf>
    <xf numFmtId="0" fontId="4" fillId="0" borderId="8" xfId="0" applyFont="1" applyBorder="1" applyAlignment="1">
      <alignment horizontal="left" vertical="center" wrapText="1"/>
    </xf>
    <xf numFmtId="0" fontId="4" fillId="0" borderId="17" xfId="0" applyFont="1" applyBorder="1" applyAlignment="1">
      <alignment horizontal="left" vertical="center" wrapText="1"/>
    </xf>
    <xf numFmtId="0" fontId="4" fillId="0" borderId="3" xfId="0" applyFont="1" applyBorder="1" applyAlignment="1">
      <alignment horizontal="left" vertical="top" wrapText="1"/>
    </xf>
    <xf numFmtId="164" fontId="4" fillId="0" borderId="1" xfId="0" applyNumberFormat="1" applyFont="1" applyBorder="1" applyAlignment="1">
      <alignment horizontal="right" vertical="top" wrapText="1"/>
    </xf>
    <xf numFmtId="164" fontId="4" fillId="0" borderId="12" xfId="0" applyNumberFormat="1" applyFont="1" applyBorder="1" applyAlignment="1">
      <alignment horizontal="right" vertical="top" wrapText="1"/>
    </xf>
    <xf numFmtId="164" fontId="4" fillId="0" borderId="10" xfId="0" applyNumberFormat="1" applyFont="1" applyBorder="1" applyAlignment="1">
      <alignment horizontal="left" vertical="top" wrapText="1"/>
    </xf>
    <xf numFmtId="164" fontId="21" fillId="0" borderId="10" xfId="0" applyNumberFormat="1" applyFont="1" applyBorder="1" applyAlignment="1">
      <alignment horizontal="left" vertical="top" wrapText="1"/>
    </xf>
    <xf numFmtId="0" fontId="1" fillId="0" borderId="9" xfId="0" applyFont="1" applyBorder="1" applyAlignment="1">
      <alignment horizontal="left" vertical="top" wrapText="1"/>
    </xf>
    <xf numFmtId="0" fontId="1" fillId="7" borderId="58" xfId="0" applyFont="1" applyFill="1" applyBorder="1" applyAlignment="1">
      <alignment horizontal="left" vertical="center" wrapText="1"/>
    </xf>
    <xf numFmtId="0" fontId="1" fillId="7" borderId="42" xfId="0" applyFont="1" applyFill="1" applyBorder="1" applyAlignment="1">
      <alignment horizontal="left" vertical="center" wrapText="1"/>
    </xf>
    <xf numFmtId="0" fontId="1" fillId="7" borderId="59" xfId="0" applyFont="1" applyFill="1" applyBorder="1" applyAlignment="1">
      <alignment horizontal="left" vertical="center" wrapText="1"/>
    </xf>
    <xf numFmtId="0" fontId="1" fillId="0" borderId="16" xfId="0" applyFont="1" applyBorder="1" applyAlignment="1">
      <alignment horizontal="left" vertical="top" wrapText="1"/>
    </xf>
    <xf numFmtId="0" fontId="1" fillId="0" borderId="14" xfId="0" applyFont="1" applyBorder="1" applyAlignment="1">
      <alignment horizontal="left" vertical="top" wrapText="1"/>
    </xf>
    <xf numFmtId="0" fontId="4" fillId="0" borderId="1"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4" fillId="0" borderId="17" xfId="0" applyFont="1" applyBorder="1" applyAlignment="1">
      <alignment horizontal="left" vertical="top"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4" xfId="0" applyFont="1" applyBorder="1" applyAlignment="1">
      <alignment horizontal="center" vertical="center" wrapText="1"/>
    </xf>
    <xf numFmtId="0" fontId="12" fillId="0" borderId="0" xfId="0" applyFont="1" applyAlignment="1">
      <alignment horizontal="center" vertical="top" wrapText="1"/>
    </xf>
    <xf numFmtId="0" fontId="30" fillId="0" borderId="0" xfId="0" applyFont="1" applyAlignment="1">
      <alignment horizontal="center" vertical="top" wrapText="1"/>
    </xf>
    <xf numFmtId="2" fontId="4" fillId="7" borderId="27" xfId="0" applyNumberFormat="1" applyFont="1" applyFill="1" applyBorder="1" applyAlignment="1">
      <alignment horizontal="left" vertical="top" wrapText="1"/>
    </xf>
    <xf numFmtId="2" fontId="1" fillId="7" borderId="30" xfId="0" applyNumberFormat="1" applyFont="1" applyFill="1" applyBorder="1" applyAlignment="1">
      <alignment horizontal="left" vertical="top" wrapText="1"/>
    </xf>
    <xf numFmtId="2" fontId="1" fillId="7" borderId="41" xfId="0" applyNumberFormat="1" applyFont="1" applyFill="1" applyBorder="1" applyAlignment="1">
      <alignment horizontal="left"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4" fillId="0" borderId="16" xfId="0" applyFont="1" applyBorder="1" applyAlignment="1">
      <alignment horizontal="center" vertical="top" wrapText="1"/>
    </xf>
    <xf numFmtId="0" fontId="4" fillId="0" borderId="14" xfId="0" applyFont="1" applyBorder="1" applyAlignment="1">
      <alignment horizontal="center" vertical="top" wrapText="1"/>
    </xf>
    <xf numFmtId="0" fontId="4" fillId="0" borderId="16" xfId="0" applyFont="1" applyBorder="1" applyAlignment="1">
      <alignment horizontal="center" vertical="top"/>
    </xf>
    <xf numFmtId="0" fontId="4" fillId="0" borderId="17" xfId="0" applyFont="1" applyBorder="1" applyAlignment="1">
      <alignment horizontal="center" vertical="top"/>
    </xf>
    <xf numFmtId="164" fontId="26" fillId="0" borderId="4" xfId="0" applyNumberFormat="1" applyFont="1" applyBorder="1" applyAlignment="1">
      <alignment horizontal="left" vertical="top" wrapText="1"/>
    </xf>
    <xf numFmtId="164" fontId="9" fillId="0" borderId="6" xfId="0" applyNumberFormat="1" applyFont="1" applyBorder="1" applyAlignment="1">
      <alignment horizontal="left" vertical="top" wrapText="1"/>
    </xf>
    <xf numFmtId="0" fontId="42" fillId="0" borderId="1" xfId="0" applyFont="1" applyBorder="1" applyAlignment="1">
      <alignment horizontal="center" vertical="center" wrapText="1"/>
    </xf>
    <xf numFmtId="0" fontId="42" fillId="0" borderId="2" xfId="0" applyFont="1" applyBorder="1" applyAlignment="1">
      <alignment horizontal="center" vertical="center" wrapText="1"/>
    </xf>
    <xf numFmtId="164" fontId="26" fillId="0" borderId="1" xfId="0" applyNumberFormat="1" applyFont="1" applyBorder="1" applyAlignment="1">
      <alignment horizontal="left" vertical="top" wrapText="1"/>
    </xf>
    <xf numFmtId="0" fontId="42" fillId="0" borderId="4" xfId="0" applyFont="1" applyBorder="1" applyAlignment="1">
      <alignment horizontal="center" vertical="center" wrapText="1"/>
    </xf>
    <xf numFmtId="0" fontId="42" fillId="0" borderId="6" xfId="0" applyFont="1" applyBorder="1" applyAlignment="1">
      <alignment horizontal="center" vertical="center" wrapText="1"/>
    </xf>
    <xf numFmtId="0" fontId="4" fillId="0" borderId="12" xfId="0" applyFont="1" applyBorder="1" applyAlignment="1">
      <alignment horizontal="left" vertical="center" wrapText="1"/>
    </xf>
    <xf numFmtId="0" fontId="4" fillId="0" borderId="10" xfId="0" applyFont="1" applyBorder="1" applyAlignment="1">
      <alignment horizontal="left" vertical="center" wrapText="1"/>
    </xf>
    <xf numFmtId="164" fontId="26" fillId="0" borderId="12" xfId="0" applyNumberFormat="1" applyFont="1" applyBorder="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1" fillId="2" borderId="4"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5" xfId="0" applyFont="1" applyFill="1" applyBorder="1" applyAlignment="1">
      <alignment horizontal="left" vertical="top" wrapText="1"/>
    </xf>
    <xf numFmtId="0" fontId="4" fillId="0" borderId="7" xfId="0" applyFont="1" applyBorder="1" applyAlignment="1">
      <alignment vertical="top" wrapText="1"/>
    </xf>
    <xf numFmtId="0" fontId="10" fillId="0" borderId="11" xfId="0" applyFont="1" applyBorder="1" applyAlignment="1">
      <alignment vertical="top" wrapText="1"/>
    </xf>
    <xf numFmtId="0" fontId="10" fillId="0" borderId="15" xfId="0" applyFont="1" applyBorder="1" applyAlignment="1">
      <alignment vertical="top" wrapText="1"/>
    </xf>
    <xf numFmtId="0" fontId="1" fillId="2" borderId="5" xfId="0" applyFont="1" applyFill="1" applyBorder="1" applyAlignment="1">
      <alignment horizontal="center" vertical="top" wrapText="1"/>
    </xf>
    <xf numFmtId="0" fontId="3" fillId="7" borderId="0" xfId="0" applyFont="1" applyFill="1" applyAlignment="1">
      <alignment horizontal="left" vertical="top" wrapText="1"/>
    </xf>
    <xf numFmtId="0" fontId="3" fillId="5" borderId="1" xfId="0" applyFont="1" applyFill="1" applyBorder="1" applyAlignment="1">
      <alignment horizontal="left" vertical="top" wrapText="1"/>
    </xf>
    <xf numFmtId="0" fontId="3" fillId="5" borderId="8" xfId="0" applyFont="1" applyFill="1" applyBorder="1" applyAlignment="1">
      <alignment horizontal="left" vertical="top" wrapText="1"/>
    </xf>
    <xf numFmtId="0" fontId="3" fillId="5" borderId="16" xfId="0" applyFont="1" applyFill="1" applyBorder="1" applyAlignment="1">
      <alignment horizontal="left" vertical="top" wrapText="1"/>
    </xf>
    <xf numFmtId="0" fontId="3" fillId="5" borderId="17" xfId="0" applyFont="1" applyFill="1" applyBorder="1" applyAlignment="1">
      <alignment horizontal="left" vertical="top" wrapText="1"/>
    </xf>
    <xf numFmtId="0" fontId="10" fillId="5" borderId="1" xfId="0" applyFont="1" applyFill="1" applyBorder="1" applyAlignment="1">
      <alignment horizontal="left" vertical="top" wrapText="1"/>
    </xf>
    <xf numFmtId="0" fontId="4" fillId="5" borderId="8" xfId="0" applyFont="1" applyFill="1" applyBorder="1" applyAlignment="1">
      <alignment horizontal="left" vertical="top" wrapText="1"/>
    </xf>
    <xf numFmtId="0" fontId="4" fillId="5" borderId="16" xfId="0" applyFont="1" applyFill="1" applyBorder="1" applyAlignment="1">
      <alignment horizontal="left" vertical="top" wrapText="1"/>
    </xf>
    <xf numFmtId="0" fontId="4" fillId="5" borderId="17"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3" fillId="5" borderId="4" xfId="0" applyFont="1" applyFill="1" applyBorder="1" applyAlignment="1">
      <alignment horizontal="left" vertical="top" wrapText="1"/>
    </xf>
    <xf numFmtId="0" fontId="3" fillId="5" borderId="5" xfId="0" applyFont="1" applyFill="1" applyBorder="1" applyAlignment="1">
      <alignment horizontal="left" vertical="top" wrapText="1"/>
    </xf>
    <xf numFmtId="0" fontId="1" fillId="0" borderId="0" xfId="0" applyFont="1" applyAlignment="1">
      <alignment horizontal="left" vertical="top" wrapText="1"/>
    </xf>
    <xf numFmtId="0" fontId="10" fillId="0" borderId="7" xfId="0" applyFont="1" applyBorder="1" applyAlignment="1">
      <alignment vertical="top" wrapText="1"/>
    </xf>
    <xf numFmtId="0" fontId="1" fillId="2" borderId="8" xfId="0" applyFont="1" applyFill="1" applyBorder="1" applyAlignment="1">
      <alignment horizontal="center" vertical="top" wrapText="1"/>
    </xf>
    <xf numFmtId="0" fontId="10" fillId="0" borderId="21" xfId="0" applyFont="1" applyBorder="1" applyAlignment="1">
      <alignment vertical="top" wrapText="1"/>
    </xf>
    <xf numFmtId="0" fontId="10" fillId="0" borderId="25" xfId="0" applyFont="1" applyBorder="1" applyAlignment="1">
      <alignment vertical="top" wrapText="1"/>
    </xf>
    <xf numFmtId="0" fontId="4" fillId="0" borderId="11" xfId="0" applyFont="1" applyBorder="1" applyAlignment="1">
      <alignment vertical="top" wrapText="1"/>
    </xf>
    <xf numFmtId="0" fontId="4" fillId="0" borderId="15" xfId="0" applyFont="1" applyBorder="1" applyAlignment="1">
      <alignment vertical="top" wrapText="1"/>
    </xf>
    <xf numFmtId="0" fontId="3" fillId="0" borderId="7" xfId="0" applyFont="1" applyBorder="1" applyAlignment="1">
      <alignment vertical="top" wrapText="1"/>
    </xf>
    <xf numFmtId="0" fontId="3" fillId="0" borderId="11" xfId="0" applyFont="1" applyBorder="1" applyAlignment="1">
      <alignment vertical="top" wrapText="1"/>
    </xf>
    <xf numFmtId="0" fontId="3" fillId="0" borderId="15" xfId="0" applyFont="1" applyBorder="1" applyAlignment="1">
      <alignment vertical="top" wrapText="1"/>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3" fillId="0" borderId="12"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10" xfId="0" applyFont="1" applyBorder="1" applyAlignment="1">
      <alignment horizontal="center" vertical="center"/>
    </xf>
    <xf numFmtId="0" fontId="3" fillId="0" borderId="16" xfId="0" applyFont="1" applyBorder="1" applyAlignment="1">
      <alignment horizontal="center" vertical="center"/>
    </xf>
    <xf numFmtId="0" fontId="3" fillId="0" borderId="14" xfId="0" applyFont="1" applyBorder="1" applyAlignment="1">
      <alignment horizontal="center" vertical="center"/>
    </xf>
    <xf numFmtId="0" fontId="5" fillId="5" borderId="16" xfId="0" applyFont="1" applyFill="1" applyBorder="1" applyAlignment="1">
      <alignment horizontal="center" vertical="top" wrapText="1"/>
    </xf>
    <xf numFmtId="0" fontId="5" fillId="5" borderId="17" xfId="0" applyFont="1" applyFill="1" applyBorder="1" applyAlignment="1">
      <alignment horizontal="center" vertical="top" wrapText="1"/>
    </xf>
    <xf numFmtId="0" fontId="4" fillId="0" borderId="5" xfId="0" applyFont="1" applyBorder="1" applyAlignment="1">
      <alignment horizontal="left" vertical="top" wrapText="1"/>
    </xf>
    <xf numFmtId="0" fontId="1" fillId="2" borderId="4" xfId="0" applyFont="1" applyFill="1" applyBorder="1" applyAlignment="1">
      <alignment horizontal="center" vertical="top" wrapText="1"/>
    </xf>
    <xf numFmtId="0" fontId="1" fillId="7" borderId="52" xfId="0" applyFont="1" applyFill="1" applyBorder="1" applyAlignment="1">
      <alignment horizontal="center" vertical="top" wrapText="1"/>
    </xf>
    <xf numFmtId="0" fontId="1" fillId="7" borderId="53" xfId="0" applyFont="1" applyFill="1" applyBorder="1" applyAlignment="1">
      <alignment horizontal="center" vertical="top" wrapText="1"/>
    </xf>
    <xf numFmtId="0" fontId="4" fillId="0" borderId="3" xfId="0" applyFont="1" applyBorder="1" applyAlignment="1">
      <alignment horizontal="center" vertical="center" wrapText="1"/>
    </xf>
    <xf numFmtId="0" fontId="4" fillId="0" borderId="9" xfId="0" applyFont="1" applyBorder="1" applyAlignment="1">
      <alignment horizontal="center" vertical="center" wrapText="1"/>
    </xf>
    <xf numFmtId="0" fontId="21" fillId="0" borderId="12" xfId="0" applyFont="1" applyBorder="1" applyAlignment="1">
      <alignment horizontal="left" vertical="top" wrapText="1"/>
    </xf>
    <xf numFmtId="0" fontId="21" fillId="0" borderId="0" xfId="0" applyFont="1" applyAlignment="1">
      <alignment horizontal="left" vertical="top" wrapText="1"/>
    </xf>
    <xf numFmtId="0" fontId="4" fillId="0" borderId="13" xfId="0" applyFont="1" applyBorder="1" applyAlignment="1">
      <alignment horizontal="center" vertical="center" wrapText="1"/>
    </xf>
    <xf numFmtId="0" fontId="20" fillId="0" borderId="42" xfId="0" applyFont="1" applyBorder="1" applyAlignment="1">
      <alignment horizontal="left" vertical="top" wrapText="1"/>
    </xf>
    <xf numFmtId="0" fontId="1" fillId="7" borderId="27" xfId="0" applyFont="1" applyFill="1" applyBorder="1" applyAlignment="1">
      <alignment horizontal="left" vertical="center" wrapText="1"/>
    </xf>
    <xf numFmtId="0" fontId="1" fillId="7" borderId="30" xfId="0" applyFont="1" applyFill="1" applyBorder="1" applyAlignment="1">
      <alignment horizontal="left" vertical="center" wrapText="1"/>
    </xf>
    <xf numFmtId="0" fontId="1" fillId="7" borderId="28" xfId="0" applyFont="1" applyFill="1" applyBorder="1" applyAlignment="1">
      <alignment horizontal="left" vertical="center" wrapText="1"/>
    </xf>
    <xf numFmtId="0" fontId="4" fillId="0" borderId="3" xfId="0" applyFont="1" applyBorder="1" applyAlignment="1">
      <alignment horizontal="center" vertical="top" wrapText="1"/>
    </xf>
    <xf numFmtId="0" fontId="4" fillId="0" borderId="9" xfId="0" applyFont="1" applyBorder="1" applyAlignment="1">
      <alignment horizontal="center" vertical="top" wrapText="1"/>
    </xf>
    <xf numFmtId="0" fontId="4" fillId="0" borderId="8"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4" fillId="0" borderId="10" xfId="0" applyFont="1" applyBorder="1" applyAlignment="1">
      <alignment vertical="top" wrapText="1"/>
    </xf>
    <xf numFmtId="0" fontId="4" fillId="0" borderId="0" xfId="0" applyFont="1" applyAlignment="1">
      <alignment vertical="top"/>
    </xf>
    <xf numFmtId="0" fontId="4" fillId="0" borderId="10" xfId="0" applyFont="1" applyBorder="1" applyAlignment="1">
      <alignment vertical="top"/>
    </xf>
    <xf numFmtId="0" fontId="4" fillId="0" borderId="17" xfId="0" applyFont="1" applyBorder="1" applyAlignment="1">
      <alignment horizontal="left" vertical="top"/>
    </xf>
    <xf numFmtId="0" fontId="4" fillId="0" borderId="14" xfId="0" applyFont="1" applyBorder="1" applyAlignment="1">
      <alignment horizontal="left" vertical="top"/>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28" xfId="0" applyFont="1" applyBorder="1" applyAlignment="1">
      <alignment horizontal="left" vertical="center" wrapText="1"/>
    </xf>
    <xf numFmtId="0" fontId="21" fillId="5" borderId="4" xfId="0" applyFont="1" applyFill="1" applyBorder="1" applyAlignment="1">
      <alignment horizontal="left" vertical="top" wrapText="1"/>
    </xf>
    <xf numFmtId="0" fontId="21" fillId="5" borderId="5" xfId="0" applyFont="1" applyFill="1" applyBorder="1" applyAlignment="1">
      <alignment horizontal="left" vertical="top" wrapText="1"/>
    </xf>
    <xf numFmtId="0" fontId="21" fillId="5" borderId="6" xfId="0" applyFont="1" applyFill="1" applyBorder="1" applyAlignment="1">
      <alignment horizontal="left" vertical="top" wrapText="1"/>
    </xf>
    <xf numFmtId="0" fontId="4" fillId="0" borderId="54" xfId="0" applyFont="1" applyBorder="1" applyAlignment="1">
      <alignment horizontal="left" vertical="top" wrapText="1"/>
    </xf>
    <xf numFmtId="164" fontId="4" fillId="0" borderId="4" xfId="0" applyNumberFormat="1" applyFont="1" applyBorder="1" applyAlignment="1">
      <alignment horizontal="center" vertical="center" wrapText="1"/>
    </xf>
    <xf numFmtId="164" fontId="4" fillId="0" borderId="6" xfId="0" applyNumberFormat="1" applyFont="1" applyBorder="1" applyAlignment="1">
      <alignment horizontal="center" vertical="center" wrapText="1"/>
    </xf>
    <xf numFmtId="164" fontId="4" fillId="0" borderId="4" xfId="0" applyNumberFormat="1" applyFont="1" applyBorder="1" applyAlignment="1">
      <alignment horizontal="center" vertical="top" wrapText="1"/>
    </xf>
    <xf numFmtId="164" fontId="4" fillId="0" borderId="6" xfId="0" applyNumberFormat="1" applyFont="1" applyBorder="1" applyAlignment="1">
      <alignment horizontal="center" vertical="top"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3" fillId="5" borderId="2" xfId="0" applyFont="1" applyFill="1" applyBorder="1" applyAlignment="1">
      <alignment horizontal="left" vertical="top" wrapText="1"/>
    </xf>
    <xf numFmtId="0" fontId="3" fillId="5" borderId="14" xfId="0" applyFont="1" applyFill="1" applyBorder="1" applyAlignment="1">
      <alignment horizontal="left" vertical="top" wrapText="1"/>
    </xf>
    <xf numFmtId="0" fontId="4" fillId="2" borderId="0" xfId="0" applyFont="1" applyFill="1" applyAlignment="1">
      <alignment horizontal="center" vertical="top"/>
    </xf>
    <xf numFmtId="0" fontId="4" fillId="2" borderId="10" xfId="0" applyFont="1" applyFill="1" applyBorder="1" applyAlignment="1">
      <alignment horizontal="center" vertical="top"/>
    </xf>
    <xf numFmtId="0" fontId="4" fillId="2" borderId="12" xfId="0" applyFont="1" applyFill="1" applyBorder="1" applyAlignment="1">
      <alignment horizontal="center" vertical="top"/>
    </xf>
    <xf numFmtId="0" fontId="4" fillId="0" borderId="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center" vertical="center" wrapText="1"/>
    </xf>
    <xf numFmtId="0" fontId="4" fillId="0" borderId="40" xfId="0" applyFont="1" applyBorder="1" applyAlignment="1">
      <alignment horizontal="left" vertical="top" wrapText="1"/>
    </xf>
    <xf numFmtId="0" fontId="4" fillId="0" borderId="22" xfId="0" applyFont="1" applyBorder="1" applyAlignment="1">
      <alignment horizontal="left" vertical="top" wrapText="1"/>
    </xf>
    <xf numFmtId="0" fontId="4" fillId="0" borderId="10" xfId="0" applyFont="1" applyBorder="1" applyAlignment="1">
      <alignment horizontal="center" vertical="center" wrapText="1"/>
    </xf>
    <xf numFmtId="0" fontId="4" fillId="0" borderId="12" xfId="0" applyFont="1" applyBorder="1" applyAlignment="1">
      <alignment horizontal="center" vertical="top"/>
    </xf>
    <xf numFmtId="0" fontId="4" fillId="0" borderId="1" xfId="0" applyFont="1" applyBorder="1" applyAlignment="1">
      <alignment horizontal="center" vertical="top"/>
    </xf>
    <xf numFmtId="0" fontId="4" fillId="0" borderId="53" xfId="0" applyFont="1" applyBorder="1" applyAlignment="1">
      <alignment horizontal="left" vertical="top" wrapText="1"/>
    </xf>
    <xf numFmtId="0" fontId="4" fillId="5" borderId="27" xfId="0" applyFont="1" applyFill="1" applyBorder="1" applyAlignment="1">
      <alignment horizontal="left" vertical="top" wrapText="1"/>
    </xf>
    <xf numFmtId="0" fontId="4" fillId="5" borderId="30" xfId="0" applyFont="1" applyFill="1" applyBorder="1" applyAlignment="1">
      <alignment horizontal="left" vertical="top" wrapText="1"/>
    </xf>
    <xf numFmtId="0" fontId="4" fillId="5" borderId="41" xfId="0" applyFont="1" applyFill="1" applyBorder="1" applyAlignment="1">
      <alignment horizontal="left" vertical="top" wrapText="1"/>
    </xf>
    <xf numFmtId="0" fontId="28" fillId="0" borderId="0" xfId="0" applyFont="1" applyAlignment="1">
      <alignment horizontal="center" vertical="top"/>
    </xf>
    <xf numFmtId="0" fontId="4" fillId="0" borderId="0" xfId="0" applyFont="1" applyAlignment="1">
      <alignment horizontal="center" vertical="top"/>
    </xf>
    <xf numFmtId="0" fontId="4" fillId="2" borderId="4" xfId="0" applyFont="1" applyFill="1" applyBorder="1" applyAlignment="1">
      <alignment horizontal="center" vertical="top"/>
    </xf>
    <xf numFmtId="0" fontId="4" fillId="2" borderId="5" xfId="0" applyFont="1" applyFill="1" applyBorder="1" applyAlignment="1">
      <alignment horizontal="center" vertical="top"/>
    </xf>
    <xf numFmtId="0" fontId="4" fillId="2" borderId="17"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2" borderId="0" xfId="0" applyFont="1" applyFill="1" applyAlignment="1">
      <alignment horizontal="center" vertical="top" wrapText="1"/>
    </xf>
    <xf numFmtId="0" fontId="4" fillId="0" borderId="17" xfId="0" applyFont="1" applyBorder="1" applyAlignment="1">
      <alignment horizontal="center" vertical="center" wrapText="1"/>
    </xf>
    <xf numFmtId="0" fontId="4" fillId="2" borderId="17" xfId="0" applyFont="1" applyFill="1" applyBorder="1" applyAlignment="1">
      <alignment horizontal="left" vertical="top" wrapText="1"/>
    </xf>
    <xf numFmtId="0" fontId="3" fillId="0" borderId="3" xfId="0" applyFont="1" applyBorder="1" applyAlignment="1">
      <alignment horizontal="left" vertical="center" wrapText="1"/>
    </xf>
    <xf numFmtId="0" fontId="3" fillId="0" borderId="9" xfId="0" applyFont="1" applyBorder="1" applyAlignment="1">
      <alignment horizontal="left"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164" fontId="4" fillId="0" borderId="8" xfId="0" applyNumberFormat="1" applyFont="1" applyBorder="1" applyAlignment="1">
      <alignment horizontal="left" vertical="top" wrapText="1"/>
    </xf>
    <xf numFmtId="164" fontId="4" fillId="0" borderId="0" xfId="0" applyNumberFormat="1" applyFont="1" applyAlignment="1">
      <alignment horizontal="left" vertical="top" wrapText="1"/>
    </xf>
    <xf numFmtId="0" fontId="4" fillId="0" borderId="17" xfId="0" applyFont="1" applyBorder="1" applyAlignment="1">
      <alignment horizontal="center" vertical="top" wrapText="1"/>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16" xfId="0" applyFont="1" applyFill="1" applyBorder="1" applyAlignment="1">
      <alignment horizontal="center" vertical="top" wrapText="1"/>
    </xf>
    <xf numFmtId="0" fontId="4" fillId="2" borderId="17" xfId="0" applyFont="1" applyFill="1" applyBorder="1" applyAlignment="1">
      <alignment horizontal="center" vertical="top" wrapText="1"/>
    </xf>
    <xf numFmtId="0" fontId="9" fillId="0" borderId="0" xfId="0" applyFont="1" applyAlignment="1">
      <alignment horizontal="left" vertical="top" wrapText="1"/>
    </xf>
    <xf numFmtId="0" fontId="9" fillId="0" borderId="8" xfId="0" applyFont="1" applyBorder="1" applyAlignment="1">
      <alignment horizontal="left" vertical="top" wrapText="1"/>
    </xf>
    <xf numFmtId="0" fontId="9" fillId="0" borderId="2" xfId="0" applyFont="1" applyBorder="1" applyAlignment="1">
      <alignment horizontal="left" vertical="top" wrapText="1"/>
    </xf>
    <xf numFmtId="0" fontId="9" fillId="0" borderId="10" xfId="0" applyFont="1" applyBorder="1" applyAlignment="1">
      <alignment horizontal="left" vertical="top" wrapText="1"/>
    </xf>
    <xf numFmtId="0" fontId="6" fillId="5" borderId="1" xfId="0" applyFont="1" applyFill="1" applyBorder="1" applyAlignment="1">
      <alignment horizontal="left" vertical="center" wrapText="1"/>
    </xf>
    <xf numFmtId="0" fontId="6" fillId="5" borderId="8" xfId="0" applyFont="1" applyFill="1" applyBorder="1" applyAlignment="1">
      <alignment horizontal="left" vertical="center" wrapText="1"/>
    </xf>
    <xf numFmtId="0" fontId="4" fillId="0" borderId="22" xfId="0" applyFont="1" applyBorder="1" applyAlignment="1">
      <alignment vertical="center" wrapText="1"/>
    </xf>
    <xf numFmtId="164" fontId="4" fillId="0" borderId="3" xfId="0" applyNumberFormat="1" applyFont="1" applyBorder="1" applyAlignment="1">
      <alignment horizontal="left" vertical="center" wrapText="1"/>
    </xf>
    <xf numFmtId="0" fontId="18" fillId="0" borderId="17" xfId="0" applyFont="1" applyBorder="1" applyAlignment="1">
      <alignment horizontal="left" vertical="top" wrapText="1"/>
    </xf>
    <xf numFmtId="0" fontId="6" fillId="0" borderId="9" xfId="0" applyFont="1" applyBorder="1" applyAlignment="1">
      <alignment vertical="center" wrapText="1"/>
    </xf>
    <xf numFmtId="0" fontId="4" fillId="0" borderId="13" xfId="0" applyFont="1" applyBorder="1" applyAlignment="1">
      <alignment vertical="top"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0" xfId="0" applyFont="1" applyAlignment="1">
      <alignment horizontal="center" vertical="center" wrapText="1"/>
    </xf>
    <xf numFmtId="164" fontId="1" fillId="0" borderId="5" xfId="0" applyNumberFormat="1" applyFont="1" applyBorder="1" applyAlignment="1">
      <alignment horizontal="left" vertical="top" wrapText="1"/>
    </xf>
    <xf numFmtId="164" fontId="1" fillId="0" borderId="6" xfId="0" applyNumberFormat="1" applyFont="1" applyBorder="1" applyAlignment="1">
      <alignment horizontal="left" vertical="top" wrapText="1"/>
    </xf>
    <xf numFmtId="0" fontId="4" fillId="2" borderId="5" xfId="0" applyFont="1" applyFill="1" applyBorder="1" applyAlignment="1">
      <alignment horizontal="center" vertical="top"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164" fontId="1" fillId="0" borderId="4" xfId="0" applyNumberFormat="1" applyFont="1" applyBorder="1" applyAlignment="1">
      <alignment horizontal="center" vertical="top" wrapText="1"/>
    </xf>
    <xf numFmtId="164" fontId="1" fillId="0" borderId="5" xfId="0" applyNumberFormat="1" applyFont="1" applyBorder="1" applyAlignment="1">
      <alignment horizontal="center" vertical="top" wrapText="1"/>
    </xf>
    <xf numFmtId="0" fontId="1" fillId="0" borderId="5" xfId="0" applyFont="1" applyBorder="1" applyAlignment="1">
      <alignment horizontal="center" vertical="center" wrapText="1"/>
    </xf>
    <xf numFmtId="0" fontId="4" fillId="2" borderId="6" xfId="0" applyFont="1" applyFill="1" applyBorder="1" applyAlignment="1">
      <alignment horizontal="center" vertical="top"/>
    </xf>
    <xf numFmtId="0" fontId="3" fillId="2" borderId="16" xfId="0" applyFont="1" applyFill="1" applyBorder="1" applyAlignment="1">
      <alignment horizontal="center" vertical="top"/>
    </xf>
    <xf numFmtId="0" fontId="3" fillId="2" borderId="17" xfId="0" applyFont="1" applyFill="1" applyBorder="1" applyAlignment="1">
      <alignment horizontal="center" vertical="top"/>
    </xf>
    <xf numFmtId="0" fontId="4" fillId="0" borderId="51" xfId="0" applyFont="1" applyBorder="1" applyAlignment="1">
      <alignment horizontal="left" vertical="top" wrapText="1"/>
    </xf>
    <xf numFmtId="0" fontId="4" fillId="0" borderId="23" xfId="0" applyFont="1" applyBorder="1" applyAlignment="1">
      <alignment horizontal="left" vertical="top" wrapText="1"/>
    </xf>
    <xf numFmtId="0" fontId="1" fillId="5" borderId="12" xfId="0" applyFont="1" applyFill="1" applyBorder="1" applyAlignment="1">
      <alignment horizontal="left" vertical="top" wrapText="1"/>
    </xf>
    <xf numFmtId="0" fontId="1" fillId="5" borderId="0" xfId="0" applyFont="1" applyFill="1" applyAlignment="1">
      <alignment horizontal="left" vertical="top" wrapText="1"/>
    </xf>
    <xf numFmtId="0" fontId="3" fillId="7" borderId="4" xfId="0" applyFont="1" applyFill="1" applyBorder="1" applyAlignment="1">
      <alignment horizontal="left" vertical="top"/>
    </xf>
    <xf numFmtId="0" fontId="3" fillId="7" borderId="5" xfId="0" applyFont="1" applyFill="1" applyBorder="1" applyAlignment="1">
      <alignment horizontal="left" vertical="top"/>
    </xf>
    <xf numFmtId="0" fontId="3" fillId="7" borderId="6" xfId="0" applyFont="1" applyFill="1" applyBorder="1" applyAlignment="1">
      <alignment horizontal="left" vertical="top"/>
    </xf>
    <xf numFmtId="0" fontId="4" fillId="0" borderId="7" xfId="0" applyFont="1" applyBorder="1" applyAlignment="1">
      <alignment horizontal="left" vertical="top" wrapText="1"/>
    </xf>
    <xf numFmtId="0" fontId="4" fillId="0" borderId="11" xfId="0" applyFont="1" applyBorder="1" applyAlignment="1">
      <alignment horizontal="left" vertical="top" wrapText="1"/>
    </xf>
    <xf numFmtId="0" fontId="4" fillId="0" borderId="15" xfId="0" applyFont="1" applyBorder="1" applyAlignment="1">
      <alignment horizontal="left" vertical="top" wrapText="1"/>
    </xf>
    <xf numFmtId="0" fontId="3" fillId="0" borderId="7" xfId="0" applyFont="1" applyBorder="1" applyAlignment="1">
      <alignment horizontal="left" vertical="top" wrapText="1"/>
    </xf>
    <xf numFmtId="0" fontId="3" fillId="0" borderId="11" xfId="0" applyFont="1" applyBorder="1" applyAlignment="1">
      <alignment horizontal="left" vertical="top" wrapText="1"/>
    </xf>
    <xf numFmtId="0" fontId="3" fillId="0" borderId="15" xfId="0" applyFont="1" applyBorder="1" applyAlignment="1">
      <alignment horizontal="left" vertical="top" wrapText="1"/>
    </xf>
    <xf numFmtId="0" fontId="4" fillId="0" borderId="16"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5" xfId="0" applyFont="1" applyBorder="1" applyAlignment="1">
      <alignment horizontal="center" vertical="center" wrapText="1"/>
    </xf>
    <xf numFmtId="10" fontId="1" fillId="0" borderId="12" xfId="0" applyNumberFormat="1" applyFont="1" applyBorder="1" applyAlignment="1">
      <alignment horizontal="center" vertical="top" wrapText="1"/>
    </xf>
    <xf numFmtId="10" fontId="1" fillId="0" borderId="10" xfId="0" applyNumberFormat="1" applyFont="1" applyBorder="1" applyAlignment="1">
      <alignment horizontal="center" vertical="top" wrapText="1"/>
    </xf>
    <xf numFmtId="0" fontId="4" fillId="0" borderId="48" xfId="0" applyFont="1" applyBorder="1" applyAlignment="1">
      <alignment horizontal="center" vertical="center" wrapText="1"/>
    </xf>
    <xf numFmtId="0" fontId="4" fillId="0" borderId="47" xfId="0" applyFont="1" applyBorder="1" applyAlignment="1">
      <alignment horizontal="center" vertical="center" wrapText="1"/>
    </xf>
    <xf numFmtId="0" fontId="4" fillId="7" borderId="17" xfId="0" applyFont="1" applyFill="1" applyBorder="1" applyAlignment="1">
      <alignment horizontal="left" vertical="top" wrapText="1"/>
    </xf>
    <xf numFmtId="0" fontId="4" fillId="2" borderId="4" xfId="0" applyFont="1" applyFill="1" applyBorder="1" applyAlignment="1">
      <alignment horizontal="left" vertical="top"/>
    </xf>
    <xf numFmtId="0" fontId="4" fillId="2" borderId="6" xfId="0" applyFont="1" applyFill="1" applyBorder="1" applyAlignment="1">
      <alignment horizontal="left" vertical="top"/>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1" fillId="0" borderId="2" xfId="0" applyFont="1" applyBorder="1" applyAlignment="1">
      <alignment horizontal="left" vertical="center"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xf>
    <xf numFmtId="0" fontId="4" fillId="0" borderId="50" xfId="0" applyFont="1" applyBorder="1" applyAlignment="1">
      <alignment horizontal="center" vertical="center" wrapText="1"/>
    </xf>
    <xf numFmtId="0" fontId="4" fillId="0" borderId="49" xfId="0" applyFont="1" applyBorder="1" applyAlignment="1">
      <alignment horizontal="center" vertical="center" wrapText="1"/>
    </xf>
    <xf numFmtId="164" fontId="4" fillId="0" borderId="1"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1" fillId="3" borderId="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4"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13" fillId="0" borderId="0" xfId="0" applyFont="1" applyAlignment="1">
      <alignment horizontal="center" vertical="top"/>
    </xf>
    <xf numFmtId="0" fontId="1" fillId="5" borderId="4" xfId="0" applyFont="1" applyFill="1" applyBorder="1" applyAlignment="1">
      <alignment horizontal="left" vertical="top" wrapText="1"/>
    </xf>
    <xf numFmtId="0" fontId="1" fillId="5" borderId="5" xfId="0" applyFont="1" applyFill="1" applyBorder="1" applyAlignment="1">
      <alignment horizontal="left" vertical="top" wrapText="1"/>
    </xf>
    <xf numFmtId="0" fontId="1" fillId="5" borderId="6" xfId="0" applyFont="1" applyFill="1" applyBorder="1" applyAlignment="1">
      <alignment horizontal="left" vertical="top" wrapText="1"/>
    </xf>
    <xf numFmtId="164" fontId="4" fillId="0" borderId="17" xfId="0" applyNumberFormat="1" applyFont="1" applyBorder="1" applyAlignment="1">
      <alignment horizontal="left" vertical="top" wrapText="1"/>
    </xf>
    <xf numFmtId="0" fontId="4" fillId="0" borderId="8" xfId="0" applyFont="1" applyBorder="1" applyAlignment="1">
      <alignment horizontal="center" vertical="top" wrapText="1"/>
    </xf>
    <xf numFmtId="0" fontId="4" fillId="0" borderId="12" xfId="0" applyFont="1" applyBorder="1" applyAlignment="1">
      <alignment horizontal="center" vertical="top" wrapText="1"/>
    </xf>
    <xf numFmtId="0" fontId="4" fillId="0" borderId="0" xfId="0" applyFont="1" applyAlignment="1">
      <alignment horizontal="center" vertical="top" wrapText="1"/>
    </xf>
    <xf numFmtId="0" fontId="1" fillId="5" borderId="27" xfId="0" applyFont="1" applyFill="1" applyBorder="1" applyAlignment="1">
      <alignment horizontal="left" vertical="center" wrapText="1"/>
    </xf>
    <xf numFmtId="0" fontId="1" fillId="5" borderId="30" xfId="0" applyFont="1" applyFill="1" applyBorder="1" applyAlignment="1">
      <alignment horizontal="left" vertical="center" wrapText="1"/>
    </xf>
    <xf numFmtId="0" fontId="1" fillId="5" borderId="41" xfId="0" applyFont="1" applyFill="1" applyBorder="1" applyAlignment="1">
      <alignment horizontal="left" vertical="center" wrapText="1"/>
    </xf>
    <xf numFmtId="0" fontId="15" fillId="0" borderId="0" xfId="0" applyFont="1" applyAlignment="1">
      <alignment horizontal="center" vertical="center" wrapText="1"/>
    </xf>
    <xf numFmtId="0" fontId="4" fillId="2" borderId="27" xfId="0" applyFont="1" applyFill="1" applyBorder="1" applyAlignment="1">
      <alignment horizontal="center" vertical="top" wrapText="1"/>
    </xf>
    <xf numFmtId="0" fontId="4" fillId="2" borderId="28" xfId="0" applyFont="1" applyFill="1" applyBorder="1" applyAlignment="1">
      <alignment horizontal="center" vertical="top" wrapText="1"/>
    </xf>
    <xf numFmtId="0" fontId="4" fillId="2" borderId="29" xfId="0" applyFont="1" applyFill="1" applyBorder="1" applyAlignment="1">
      <alignment horizontal="center" vertical="top" wrapText="1"/>
    </xf>
    <xf numFmtId="0" fontId="4" fillId="2" borderId="29" xfId="0" applyFont="1" applyFill="1" applyBorder="1" applyAlignment="1">
      <alignment horizontal="center" vertical="top"/>
    </xf>
    <xf numFmtId="0" fontId="4" fillId="2" borderId="30" xfId="0" applyFont="1" applyFill="1" applyBorder="1" applyAlignment="1">
      <alignment horizontal="center" vertical="top"/>
    </xf>
    <xf numFmtId="164" fontId="4" fillId="0" borderId="31" xfId="0" applyNumberFormat="1" applyFont="1" applyBorder="1" applyAlignment="1">
      <alignment horizontal="left" vertical="top" wrapText="1"/>
    </xf>
    <xf numFmtId="164" fontId="4" fillId="0" borderId="32" xfId="0" applyNumberFormat="1" applyFont="1" applyBorder="1" applyAlignment="1">
      <alignment horizontal="left" vertical="top" wrapText="1"/>
    </xf>
    <xf numFmtId="0" fontId="4" fillId="0" borderId="3" xfId="0" applyFont="1" applyBorder="1" applyAlignment="1">
      <alignment vertical="top" wrapText="1"/>
    </xf>
    <xf numFmtId="0" fontId="3" fillId="0" borderId="52" xfId="0" applyFont="1" applyBorder="1" applyAlignment="1">
      <alignment horizontal="left" vertical="top" wrapText="1"/>
    </xf>
    <xf numFmtId="0" fontId="3" fillId="0" borderId="40" xfId="0" applyFont="1" applyBorder="1" applyAlignment="1">
      <alignment horizontal="left" vertical="top" wrapText="1"/>
    </xf>
    <xf numFmtId="0" fontId="3" fillId="0" borderId="12" xfId="0" applyFont="1" applyBorder="1" applyAlignment="1">
      <alignment horizontal="left" vertical="top" wrapText="1"/>
    </xf>
    <xf numFmtId="0" fontId="3" fillId="0" borderId="0" xfId="0" applyFont="1" applyAlignment="1">
      <alignment horizontal="lef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64" fontId="4" fillId="0" borderId="34" xfId="0" applyNumberFormat="1" applyFont="1" applyBorder="1" applyAlignment="1">
      <alignment horizontal="left" vertical="top" wrapText="1"/>
    </xf>
    <xf numFmtId="164" fontId="4" fillId="0" borderId="37" xfId="0" applyNumberFormat="1" applyFont="1" applyBorder="1" applyAlignment="1">
      <alignment horizontal="left" vertical="top" wrapText="1"/>
    </xf>
    <xf numFmtId="0" fontId="4" fillId="0" borderId="35" xfId="0" applyFont="1" applyBorder="1" applyAlignment="1">
      <alignment horizontal="left" vertical="top" wrapText="1"/>
    </xf>
    <xf numFmtId="0" fontId="4" fillId="0" borderId="38" xfId="0" applyFont="1" applyBorder="1" applyAlignment="1">
      <alignment horizontal="left" vertical="top"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4" fillId="0" borderId="33" xfId="0" applyFont="1" applyBorder="1" applyAlignment="1">
      <alignment horizontal="left" vertical="top" wrapText="1"/>
    </xf>
    <xf numFmtId="0" fontId="16" fillId="0" borderId="9" xfId="0" applyFont="1" applyBorder="1" applyAlignment="1">
      <alignment horizontal="left" vertical="top" wrapText="1"/>
    </xf>
    <xf numFmtId="0" fontId="16"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
  <sheetViews>
    <sheetView view="pageLayout" topLeftCell="A27" zoomScaleNormal="100" workbookViewId="0">
      <selection activeCell="A50" sqref="A50"/>
    </sheetView>
  </sheetViews>
  <sheetFormatPr defaultRowHeight="14.5" x14ac:dyDescent="0.35"/>
  <cols>
    <col min="1" max="1" width="2.81640625" bestFit="1" customWidth="1"/>
    <col min="2" max="2" width="4" bestFit="1" customWidth="1"/>
    <col min="3" max="3" width="33.54296875" customWidth="1"/>
    <col min="5" max="5" width="20.7265625" customWidth="1"/>
    <col min="6" max="6" width="6.81640625" style="47" customWidth="1"/>
    <col min="7" max="7" width="11.7265625" style="47" customWidth="1"/>
    <col min="9" max="9" width="12.7265625" bestFit="1" customWidth="1"/>
    <col min="11" max="11" width="11.26953125" customWidth="1"/>
  </cols>
  <sheetData>
    <row r="1" spans="1:11" ht="30" customHeight="1" x14ac:dyDescent="0.35">
      <c r="A1" s="344" t="s">
        <v>270</v>
      </c>
      <c r="B1" s="345"/>
      <c r="C1" s="345"/>
      <c r="D1" s="345"/>
      <c r="E1" s="345"/>
      <c r="F1" s="345"/>
      <c r="G1" s="346"/>
    </row>
    <row r="2" spans="1:11" ht="21.75" customHeight="1" thickBot="1" x14ac:dyDescent="0.4">
      <c r="A2" s="386" t="s">
        <v>428</v>
      </c>
      <c r="B2" s="387"/>
      <c r="C2" s="387"/>
      <c r="D2" s="387"/>
      <c r="E2" s="387"/>
      <c r="F2" s="387"/>
      <c r="G2" s="388"/>
    </row>
    <row r="3" spans="1:11" ht="14.25" customHeight="1" x14ac:dyDescent="0.35">
      <c r="B3" s="61"/>
      <c r="C3" s="61"/>
      <c r="D3" s="61"/>
      <c r="E3" s="61"/>
      <c r="F3" s="20"/>
    </row>
    <row r="4" spans="1:11" x14ac:dyDescent="0.35">
      <c r="A4" s="128"/>
      <c r="B4" s="325" t="s">
        <v>0</v>
      </c>
      <c r="C4" s="219" t="s">
        <v>57</v>
      </c>
      <c r="D4" s="355" t="s">
        <v>58</v>
      </c>
      <c r="E4" s="356"/>
      <c r="F4" s="364" t="s">
        <v>59</v>
      </c>
      <c r="G4" s="365"/>
    </row>
    <row r="5" spans="1:11" ht="17.25" customHeight="1" x14ac:dyDescent="0.35">
      <c r="A5" s="353" t="s">
        <v>68</v>
      </c>
      <c r="B5" s="354"/>
      <c r="C5" s="28" t="s">
        <v>69</v>
      </c>
      <c r="D5" s="349" t="s">
        <v>70</v>
      </c>
      <c r="E5" s="350"/>
      <c r="F5" s="316"/>
      <c r="G5" s="173"/>
    </row>
    <row r="6" spans="1:11" ht="18.75" customHeight="1" x14ac:dyDescent="0.35">
      <c r="A6" s="353" t="s">
        <v>71</v>
      </c>
      <c r="B6" s="354"/>
      <c r="C6" s="28" t="s">
        <v>72</v>
      </c>
      <c r="D6" s="349" t="s">
        <v>70</v>
      </c>
      <c r="E6" s="350"/>
      <c r="F6" s="313"/>
      <c r="G6" s="174"/>
    </row>
    <row r="7" spans="1:11" ht="18" customHeight="1" x14ac:dyDescent="0.35">
      <c r="A7" s="353" t="s">
        <v>73</v>
      </c>
      <c r="B7" s="354"/>
      <c r="C7" s="28" t="s">
        <v>74</v>
      </c>
      <c r="D7" s="349" t="s">
        <v>75</v>
      </c>
      <c r="E7" s="350"/>
      <c r="F7" s="274"/>
      <c r="G7" s="174"/>
    </row>
    <row r="8" spans="1:11" x14ac:dyDescent="0.35">
      <c r="A8" s="357" t="s">
        <v>83</v>
      </c>
      <c r="B8" s="358"/>
      <c r="C8" s="66" t="s">
        <v>548</v>
      </c>
      <c r="D8" s="8">
        <v>1</v>
      </c>
      <c r="E8" s="67" t="s">
        <v>4</v>
      </c>
      <c r="F8" s="313"/>
      <c r="G8" s="174"/>
      <c r="H8" s="207"/>
      <c r="I8" s="207"/>
      <c r="J8" s="207"/>
      <c r="K8" s="207"/>
    </row>
    <row r="9" spans="1:11" x14ac:dyDescent="0.35">
      <c r="A9" s="359"/>
      <c r="B9" s="360"/>
      <c r="C9" s="58"/>
      <c r="D9" s="9">
        <f>D8+1</f>
        <v>2</v>
      </c>
      <c r="E9" s="74" t="s">
        <v>5</v>
      </c>
      <c r="F9" s="372" t="s">
        <v>420</v>
      </c>
      <c r="G9" s="373"/>
      <c r="H9" s="207"/>
      <c r="I9" s="207"/>
      <c r="J9" s="207"/>
      <c r="K9" s="207"/>
    </row>
    <row r="10" spans="1:11" ht="14.25" customHeight="1" x14ac:dyDescent="0.35">
      <c r="A10" s="33" t="s">
        <v>214</v>
      </c>
      <c r="B10" s="22">
        <v>1</v>
      </c>
      <c r="C10" s="77" t="s">
        <v>125</v>
      </c>
      <c r="D10" s="8">
        <v>1</v>
      </c>
      <c r="E10" s="129" t="s">
        <v>61</v>
      </c>
      <c r="F10" s="313"/>
      <c r="G10" s="174"/>
      <c r="H10" s="207"/>
      <c r="I10" s="207"/>
      <c r="J10" s="207"/>
      <c r="K10" s="207"/>
    </row>
    <row r="11" spans="1:11" x14ac:dyDescent="0.35">
      <c r="A11" s="63"/>
      <c r="B11" s="64"/>
      <c r="C11" s="75"/>
      <c r="D11" s="12">
        <f>D10+1</f>
        <v>2</v>
      </c>
      <c r="E11" s="26" t="s">
        <v>62</v>
      </c>
      <c r="F11" s="313"/>
      <c r="G11" s="174"/>
      <c r="H11" s="207"/>
      <c r="I11" s="207"/>
      <c r="J11" s="207"/>
      <c r="K11" s="207"/>
    </row>
    <row r="12" spans="1:11" x14ac:dyDescent="0.35">
      <c r="A12" s="65"/>
      <c r="B12" s="280"/>
      <c r="C12" s="76"/>
      <c r="D12" s="9">
        <f>D11+1</f>
        <v>3</v>
      </c>
      <c r="E12" s="27" t="s">
        <v>63</v>
      </c>
      <c r="F12" s="313"/>
      <c r="G12" s="174"/>
      <c r="H12" s="207"/>
      <c r="I12" s="207"/>
    </row>
    <row r="13" spans="1:11" x14ac:dyDescent="0.35">
      <c r="A13" s="178" t="s">
        <v>214</v>
      </c>
      <c r="B13" s="217">
        <f>B10+1</f>
        <v>2</v>
      </c>
      <c r="C13" s="361" t="s">
        <v>64</v>
      </c>
      <c r="D13" s="53">
        <v>1</v>
      </c>
      <c r="E13" s="277" t="s">
        <v>200</v>
      </c>
      <c r="F13" s="216"/>
      <c r="G13" s="173"/>
    </row>
    <row r="14" spans="1:11" ht="18" customHeight="1" x14ac:dyDescent="0.35">
      <c r="A14" s="170"/>
      <c r="B14" s="23"/>
      <c r="C14" s="348"/>
      <c r="D14" s="30">
        <f t="shared" ref="D14:D22" si="0">D13+1</f>
        <v>2</v>
      </c>
      <c r="E14" s="32" t="s">
        <v>129</v>
      </c>
      <c r="F14" s="274"/>
      <c r="G14" s="174"/>
    </row>
    <row r="15" spans="1:11" ht="15.75" customHeight="1" x14ac:dyDescent="0.35">
      <c r="A15" s="170"/>
      <c r="B15" s="23"/>
      <c r="C15" s="348"/>
      <c r="D15" s="30">
        <f t="shared" si="0"/>
        <v>3</v>
      </c>
      <c r="E15" s="32" t="s">
        <v>201</v>
      </c>
      <c r="F15" s="170"/>
      <c r="G15" s="174"/>
    </row>
    <row r="16" spans="1:11" x14ac:dyDescent="0.35">
      <c r="A16" s="170"/>
      <c r="B16" s="23"/>
      <c r="C16" s="348"/>
      <c r="D16" s="30">
        <f t="shared" si="0"/>
        <v>4</v>
      </c>
      <c r="E16" s="32" t="s">
        <v>202</v>
      </c>
      <c r="F16" s="170"/>
      <c r="G16" s="174"/>
    </row>
    <row r="17" spans="1:7" ht="15.75" customHeight="1" x14ac:dyDescent="0.35">
      <c r="A17" s="170"/>
      <c r="B17" s="23"/>
      <c r="C17" s="348"/>
      <c r="D17" s="30">
        <f t="shared" si="0"/>
        <v>5</v>
      </c>
      <c r="E17" s="32" t="s">
        <v>203</v>
      </c>
      <c r="F17" s="170"/>
      <c r="G17" s="174"/>
    </row>
    <row r="18" spans="1:7" x14ac:dyDescent="0.35">
      <c r="A18" s="170"/>
      <c r="B18" s="23"/>
      <c r="C18" s="348"/>
      <c r="D18" s="30">
        <f t="shared" si="0"/>
        <v>6</v>
      </c>
      <c r="E18" s="32" t="s">
        <v>204</v>
      </c>
      <c r="F18" s="170"/>
      <c r="G18" s="174"/>
    </row>
    <row r="19" spans="1:7" x14ac:dyDescent="0.35">
      <c r="A19" s="170"/>
      <c r="B19" s="11"/>
      <c r="C19" s="362"/>
      <c r="D19" s="30">
        <f t="shared" si="0"/>
        <v>7</v>
      </c>
      <c r="E19" s="32" t="s">
        <v>205</v>
      </c>
      <c r="F19" s="170"/>
      <c r="G19" s="174"/>
    </row>
    <row r="20" spans="1:7" x14ac:dyDescent="0.35">
      <c r="A20" s="170"/>
      <c r="B20" s="11"/>
      <c r="C20" s="362"/>
      <c r="D20" s="30">
        <f t="shared" si="0"/>
        <v>8</v>
      </c>
      <c r="E20" s="32" t="s">
        <v>206</v>
      </c>
      <c r="F20" s="170"/>
      <c r="G20" s="174"/>
    </row>
    <row r="21" spans="1:7" x14ac:dyDescent="0.35">
      <c r="A21" s="170"/>
      <c r="B21" s="11"/>
      <c r="C21" s="362"/>
      <c r="D21" s="30">
        <f t="shared" si="0"/>
        <v>9</v>
      </c>
      <c r="E21" s="32" t="s">
        <v>207</v>
      </c>
      <c r="F21" s="170"/>
      <c r="G21" s="174"/>
    </row>
    <row r="22" spans="1:7" x14ac:dyDescent="0.35">
      <c r="A22" s="170"/>
      <c r="B22" s="11"/>
      <c r="C22" s="362"/>
      <c r="D22" s="30">
        <f t="shared" si="0"/>
        <v>10</v>
      </c>
      <c r="E22" s="32" t="s">
        <v>208</v>
      </c>
      <c r="F22" s="170"/>
      <c r="G22" s="174"/>
    </row>
    <row r="23" spans="1:7" x14ac:dyDescent="0.35">
      <c r="A23" s="170"/>
      <c r="B23" s="11"/>
      <c r="C23" s="362"/>
      <c r="D23" s="30">
        <f>D22+1</f>
        <v>11</v>
      </c>
      <c r="E23" s="32" t="s">
        <v>209</v>
      </c>
      <c r="F23" s="170"/>
      <c r="G23" s="174"/>
    </row>
    <row r="24" spans="1:7" ht="16.5" customHeight="1" x14ac:dyDescent="0.35">
      <c r="A24" s="171"/>
      <c r="B24" s="15"/>
      <c r="C24" s="363"/>
      <c r="D24" s="31">
        <v>-66</v>
      </c>
      <c r="E24" s="283" t="s">
        <v>294</v>
      </c>
      <c r="F24" s="171"/>
      <c r="G24" s="175"/>
    </row>
    <row r="25" spans="1:7" ht="20.149999999999999" customHeight="1" x14ac:dyDescent="0.35">
      <c r="A25" s="33" t="s">
        <v>214</v>
      </c>
      <c r="B25" s="48">
        <f>B13+1</f>
        <v>3</v>
      </c>
      <c r="C25" s="28" t="s">
        <v>549</v>
      </c>
      <c r="D25" s="349"/>
      <c r="E25" s="350"/>
      <c r="F25" s="120"/>
      <c r="G25" s="176"/>
    </row>
    <row r="26" spans="1:7" ht="20.149999999999999" customHeight="1" x14ac:dyDescent="0.35">
      <c r="A26" s="63" t="s">
        <v>214</v>
      </c>
      <c r="B26" s="48">
        <f>B25+1</f>
        <v>4</v>
      </c>
      <c r="C26" s="28" t="s">
        <v>65</v>
      </c>
      <c r="D26" s="349"/>
      <c r="E26" s="350"/>
      <c r="F26" s="120"/>
      <c r="G26" s="176"/>
    </row>
    <row r="27" spans="1:7" ht="20.149999999999999" customHeight="1" x14ac:dyDescent="0.35">
      <c r="A27" s="63" t="s">
        <v>214</v>
      </c>
      <c r="B27" s="48">
        <f>B26+1</f>
        <v>5</v>
      </c>
      <c r="C27" s="28" t="s">
        <v>66</v>
      </c>
      <c r="D27" s="349"/>
      <c r="E27" s="350"/>
      <c r="F27" s="374" t="s">
        <v>799</v>
      </c>
      <c r="G27" s="375"/>
    </row>
    <row r="28" spans="1:7" ht="20.149999999999999" customHeight="1" x14ac:dyDescent="0.35">
      <c r="A28" s="65" t="s">
        <v>214</v>
      </c>
      <c r="B28" s="48">
        <f>B27+1</f>
        <v>6</v>
      </c>
      <c r="C28" s="28" t="s">
        <v>67</v>
      </c>
      <c r="D28" s="349"/>
      <c r="E28" s="350"/>
      <c r="F28" s="120"/>
      <c r="G28" s="176"/>
    </row>
    <row r="29" spans="1:7" ht="20.149999999999999" customHeight="1" x14ac:dyDescent="0.35">
      <c r="A29" s="62" t="s">
        <v>214</v>
      </c>
      <c r="B29" s="48">
        <v>7</v>
      </c>
      <c r="C29" s="28" t="s">
        <v>76</v>
      </c>
      <c r="D29" s="349"/>
      <c r="E29" s="350"/>
      <c r="F29" s="321"/>
      <c r="G29" s="176"/>
    </row>
    <row r="30" spans="1:7" ht="20.149999999999999" customHeight="1" x14ac:dyDescent="0.35">
      <c r="A30" s="62" t="s">
        <v>214</v>
      </c>
      <c r="B30" s="48">
        <f>B29+1</f>
        <v>8</v>
      </c>
      <c r="C30" s="28" t="s">
        <v>77</v>
      </c>
      <c r="D30" s="366" t="s">
        <v>78</v>
      </c>
      <c r="E30" s="367"/>
      <c r="F30" s="321"/>
      <c r="G30" s="176"/>
    </row>
    <row r="31" spans="1:7" ht="20.149999999999999" customHeight="1" x14ac:dyDescent="0.35">
      <c r="A31" s="62" t="s">
        <v>214</v>
      </c>
      <c r="B31" s="48">
        <f>B30+1</f>
        <v>9</v>
      </c>
      <c r="C31" s="28" t="s">
        <v>79</v>
      </c>
      <c r="D31" s="349"/>
      <c r="E31" s="350"/>
      <c r="F31" s="321"/>
      <c r="G31" s="176"/>
    </row>
    <row r="32" spans="1:7" ht="20.149999999999999" customHeight="1" x14ac:dyDescent="0.35">
      <c r="A32" s="62" t="s">
        <v>214</v>
      </c>
      <c r="B32" s="48">
        <f>B31+1</f>
        <v>10</v>
      </c>
      <c r="C32" s="28" t="s">
        <v>80</v>
      </c>
      <c r="D32" s="366" t="s">
        <v>78</v>
      </c>
      <c r="E32" s="367"/>
      <c r="F32" s="321"/>
      <c r="G32" s="176"/>
    </row>
    <row r="33" spans="1:7" x14ac:dyDescent="0.35">
      <c r="A33" s="33" t="s">
        <v>214</v>
      </c>
      <c r="B33" s="351">
        <f>B32+1</f>
        <v>11</v>
      </c>
      <c r="C33" s="66" t="s">
        <v>81</v>
      </c>
      <c r="D33" s="8">
        <v>1</v>
      </c>
      <c r="E33" s="67" t="s">
        <v>82</v>
      </c>
      <c r="F33" s="216"/>
      <c r="G33" s="173"/>
    </row>
    <row r="34" spans="1:7" x14ac:dyDescent="0.35">
      <c r="A34" s="131"/>
      <c r="B34" s="352"/>
      <c r="C34" s="58"/>
      <c r="D34" s="9">
        <f>D33:E33+1</f>
        <v>2</v>
      </c>
      <c r="E34" s="74" t="s">
        <v>5</v>
      </c>
      <c r="F34" s="177"/>
      <c r="G34" s="175"/>
    </row>
    <row r="35" spans="1:7" ht="18.75" customHeight="1" x14ac:dyDescent="0.35">
      <c r="A35" s="210"/>
      <c r="B35" s="370" t="s">
        <v>84</v>
      </c>
      <c r="C35" s="371"/>
      <c r="D35" s="371"/>
      <c r="E35" s="371"/>
      <c r="F35" s="170"/>
      <c r="G35" s="11"/>
    </row>
    <row r="36" spans="1:7" x14ac:dyDescent="0.35">
      <c r="A36" s="33" t="s">
        <v>214</v>
      </c>
      <c r="B36" s="351">
        <v>12</v>
      </c>
      <c r="C36" s="378" t="s">
        <v>509</v>
      </c>
      <c r="D36" s="29">
        <v>1</v>
      </c>
      <c r="E36" s="144" t="s">
        <v>4</v>
      </c>
      <c r="F36" s="178" t="s">
        <v>538</v>
      </c>
      <c r="G36" s="10"/>
    </row>
    <row r="37" spans="1:7" x14ac:dyDescent="0.35">
      <c r="A37" s="131"/>
      <c r="B37" s="352"/>
      <c r="C37" s="379"/>
      <c r="D37" s="30">
        <v>2</v>
      </c>
      <c r="E37" s="23" t="s">
        <v>5</v>
      </c>
      <c r="F37" s="171"/>
      <c r="G37" s="15"/>
    </row>
    <row r="38" spans="1:7" ht="18.75" customHeight="1" x14ac:dyDescent="0.35">
      <c r="A38" s="62" t="s">
        <v>214</v>
      </c>
      <c r="B38" s="48">
        <f>B33+1</f>
        <v>12</v>
      </c>
      <c r="C38" s="28" t="s">
        <v>85</v>
      </c>
      <c r="D38" s="349"/>
      <c r="E38" s="350"/>
      <c r="F38" s="179"/>
      <c r="G38" s="180"/>
    </row>
    <row r="39" spans="1:7" x14ac:dyDescent="0.35">
      <c r="A39" s="62" t="s">
        <v>214</v>
      </c>
      <c r="B39" s="48">
        <f t="shared" ref="B39:B44" si="1">B38+1</f>
        <v>13</v>
      </c>
      <c r="C39" s="28" t="s">
        <v>86</v>
      </c>
      <c r="D39" s="349"/>
      <c r="E39" s="350"/>
      <c r="F39" s="321"/>
      <c r="G39" s="176"/>
    </row>
    <row r="40" spans="1:7" ht="18.75" customHeight="1" x14ac:dyDescent="0.35">
      <c r="A40" s="62" t="s">
        <v>214</v>
      </c>
      <c r="B40" s="48">
        <f t="shared" si="1"/>
        <v>14</v>
      </c>
      <c r="C40" s="28" t="s">
        <v>87</v>
      </c>
      <c r="D40" s="349"/>
      <c r="E40" s="350"/>
      <c r="F40" s="321"/>
      <c r="G40" s="176"/>
    </row>
    <row r="41" spans="1:7" x14ac:dyDescent="0.35">
      <c r="A41" s="62" t="s">
        <v>214</v>
      </c>
      <c r="B41" s="48">
        <f t="shared" si="1"/>
        <v>15</v>
      </c>
      <c r="C41" s="28" t="s">
        <v>88</v>
      </c>
      <c r="D41" s="349"/>
      <c r="E41" s="350"/>
      <c r="F41" s="120"/>
      <c r="G41" s="176"/>
    </row>
    <row r="42" spans="1:7" x14ac:dyDescent="0.35">
      <c r="A42" s="62" t="s">
        <v>214</v>
      </c>
      <c r="B42" s="48">
        <f t="shared" si="1"/>
        <v>16</v>
      </c>
      <c r="C42" s="69" t="s">
        <v>89</v>
      </c>
      <c r="D42" s="349"/>
      <c r="E42" s="350"/>
      <c r="F42" s="321"/>
      <c r="G42" s="176"/>
    </row>
    <row r="43" spans="1:7" ht="15" customHeight="1" x14ac:dyDescent="0.35">
      <c r="A43" s="62" t="s">
        <v>214</v>
      </c>
      <c r="B43" s="48">
        <f t="shared" si="1"/>
        <v>17</v>
      </c>
      <c r="C43" s="28" t="s">
        <v>90</v>
      </c>
      <c r="D43" s="349"/>
      <c r="E43" s="350"/>
      <c r="F43" s="321"/>
      <c r="G43" s="218"/>
    </row>
    <row r="44" spans="1:7" ht="15" customHeight="1" x14ac:dyDescent="0.35">
      <c r="A44" s="62" t="s">
        <v>214</v>
      </c>
      <c r="B44" s="351">
        <f t="shared" si="1"/>
        <v>18</v>
      </c>
      <c r="C44" s="380" t="s">
        <v>282</v>
      </c>
      <c r="D44" s="8">
        <v>1</v>
      </c>
      <c r="E44" s="144" t="s">
        <v>4</v>
      </c>
      <c r="F44" s="347" t="s">
        <v>281</v>
      </c>
      <c r="G44" s="348"/>
    </row>
    <row r="45" spans="1:7" ht="25.5" customHeight="1" x14ac:dyDescent="0.35">
      <c r="A45" s="62"/>
      <c r="B45" s="352"/>
      <c r="C45" s="363"/>
      <c r="D45" s="12">
        <f>D44+1</f>
        <v>2</v>
      </c>
      <c r="E45" s="23" t="s">
        <v>5</v>
      </c>
      <c r="F45" s="347"/>
      <c r="G45" s="348"/>
    </row>
    <row r="46" spans="1:7" x14ac:dyDescent="0.35">
      <c r="A46" s="62" t="s">
        <v>214</v>
      </c>
      <c r="B46" s="48">
        <f>B44+1</f>
        <v>19</v>
      </c>
      <c r="C46" s="28" t="s">
        <v>279</v>
      </c>
      <c r="D46" s="366" t="s">
        <v>819</v>
      </c>
      <c r="E46" s="367"/>
      <c r="F46" s="274"/>
      <c r="G46" s="23"/>
    </row>
    <row r="47" spans="1:7" ht="26" x14ac:dyDescent="0.35">
      <c r="A47" s="33" t="s">
        <v>214</v>
      </c>
      <c r="B47" s="22">
        <f>B46+1</f>
        <v>20</v>
      </c>
      <c r="C47" s="70" t="s">
        <v>234</v>
      </c>
      <c r="D47" s="395"/>
      <c r="E47" s="396"/>
      <c r="F47" s="274"/>
      <c r="G47" s="23"/>
    </row>
    <row r="48" spans="1:7" ht="30" customHeight="1" x14ac:dyDescent="0.35">
      <c r="A48" s="33"/>
      <c r="B48" s="22"/>
      <c r="C48" s="361" t="s">
        <v>271</v>
      </c>
      <c r="D48" s="8">
        <v>1</v>
      </c>
      <c r="E48" s="217" t="s">
        <v>283</v>
      </c>
      <c r="F48" s="274"/>
      <c r="G48" s="174"/>
    </row>
    <row r="49" spans="1:11" ht="26" x14ac:dyDescent="0.35">
      <c r="A49" s="63"/>
      <c r="B49" s="64"/>
      <c r="C49" s="348"/>
      <c r="D49" s="12">
        <v>2</v>
      </c>
      <c r="E49" s="143" t="s">
        <v>284</v>
      </c>
      <c r="F49" s="274"/>
      <c r="G49" s="174"/>
    </row>
    <row r="50" spans="1:11" ht="39" x14ac:dyDescent="0.35">
      <c r="A50" s="63"/>
      <c r="B50" s="64"/>
      <c r="C50" s="348"/>
      <c r="D50" s="12">
        <v>3</v>
      </c>
      <c r="E50" s="143" t="s">
        <v>285</v>
      </c>
      <c r="F50" s="274"/>
      <c r="G50" s="174"/>
    </row>
    <row r="51" spans="1:11" x14ac:dyDescent="0.35">
      <c r="A51" s="63"/>
      <c r="B51" s="64"/>
      <c r="C51" s="348"/>
      <c r="D51" s="12">
        <v>-88</v>
      </c>
      <c r="E51" s="23" t="s">
        <v>7</v>
      </c>
      <c r="F51" s="274"/>
      <c r="G51" s="174"/>
    </row>
    <row r="52" spans="1:11" x14ac:dyDescent="0.35">
      <c r="A52" s="65"/>
      <c r="B52" s="280"/>
      <c r="C52" s="377"/>
      <c r="D52" s="9">
        <v>-99</v>
      </c>
      <c r="E52" s="145" t="s">
        <v>20</v>
      </c>
      <c r="F52" s="274"/>
      <c r="G52" s="174"/>
    </row>
    <row r="53" spans="1:11" ht="18" customHeight="1" x14ac:dyDescent="0.35">
      <c r="A53" s="63" t="s">
        <v>214</v>
      </c>
      <c r="B53" s="64">
        <f>B47+1</f>
        <v>21</v>
      </c>
      <c r="C53" s="392" t="s">
        <v>91</v>
      </c>
      <c r="D53" s="8">
        <v>1</v>
      </c>
      <c r="E53" s="217" t="s">
        <v>213</v>
      </c>
      <c r="F53" s="368" t="s">
        <v>286</v>
      </c>
      <c r="G53" s="369"/>
    </row>
    <row r="54" spans="1:11" x14ac:dyDescent="0.35">
      <c r="A54" s="63"/>
      <c r="B54" s="64"/>
      <c r="C54" s="393"/>
      <c r="D54" s="12">
        <v>2</v>
      </c>
      <c r="E54" s="143" t="s">
        <v>196</v>
      </c>
      <c r="F54" s="372"/>
      <c r="G54" s="373"/>
    </row>
    <row r="55" spans="1:11" ht="27.75" customHeight="1" x14ac:dyDescent="0.35">
      <c r="A55" s="63"/>
      <c r="B55" s="64"/>
      <c r="C55" s="393"/>
      <c r="D55" s="12">
        <v>3</v>
      </c>
      <c r="E55" s="143" t="s">
        <v>197</v>
      </c>
      <c r="F55" s="372"/>
      <c r="G55" s="373"/>
    </row>
    <row r="56" spans="1:11" ht="27.75" customHeight="1" x14ac:dyDescent="0.35">
      <c r="A56" s="65"/>
      <c r="B56" s="280"/>
      <c r="C56" s="394"/>
      <c r="D56" s="9">
        <v>4</v>
      </c>
      <c r="E56" s="118" t="s">
        <v>198</v>
      </c>
      <c r="F56" s="389"/>
      <c r="G56" s="390"/>
    </row>
    <row r="57" spans="1:11" ht="25.5" customHeight="1" x14ac:dyDescent="0.35">
      <c r="A57" s="63" t="s">
        <v>214</v>
      </c>
      <c r="B57" s="64">
        <f>B53</f>
        <v>21</v>
      </c>
      <c r="C57" s="66" t="s">
        <v>199</v>
      </c>
      <c r="D57" s="397"/>
      <c r="E57" s="398"/>
      <c r="F57" s="321"/>
      <c r="G57" s="218"/>
    </row>
    <row r="58" spans="1:11" x14ac:dyDescent="0.35">
      <c r="A58" s="381" t="s">
        <v>214</v>
      </c>
      <c r="B58" s="351">
        <f>B53</f>
        <v>21</v>
      </c>
      <c r="C58" s="380" t="s">
        <v>255</v>
      </c>
      <c r="D58" s="8">
        <v>1</v>
      </c>
      <c r="E58" s="144" t="s">
        <v>4</v>
      </c>
      <c r="F58" s="178"/>
      <c r="G58" s="173"/>
    </row>
    <row r="59" spans="1:11" x14ac:dyDescent="0.35">
      <c r="A59" s="382"/>
      <c r="B59" s="383"/>
      <c r="C59" s="362"/>
      <c r="D59" s="12">
        <v>2</v>
      </c>
      <c r="E59" s="23" t="s">
        <v>5</v>
      </c>
      <c r="F59" s="81"/>
      <c r="G59" s="174"/>
      <c r="J59" s="79"/>
      <c r="K59" s="79"/>
    </row>
    <row r="60" spans="1:11" x14ac:dyDescent="0.35">
      <c r="A60" s="87"/>
      <c r="B60" s="11"/>
      <c r="C60" s="362"/>
      <c r="D60" s="12">
        <v>-88</v>
      </c>
      <c r="E60" s="23" t="s">
        <v>7</v>
      </c>
      <c r="F60" s="170"/>
      <c r="G60" s="23"/>
      <c r="J60" s="79"/>
      <c r="K60" s="79"/>
    </row>
    <row r="61" spans="1:11" x14ac:dyDescent="0.35">
      <c r="A61" s="89"/>
      <c r="B61" s="15"/>
      <c r="C61" s="363"/>
      <c r="D61" s="9">
        <v>-99</v>
      </c>
      <c r="E61" s="145" t="s">
        <v>20</v>
      </c>
      <c r="F61" s="171"/>
      <c r="G61" s="145"/>
      <c r="J61" s="79"/>
      <c r="K61" s="79"/>
    </row>
    <row r="62" spans="1:11" ht="16.5" customHeight="1" x14ac:dyDescent="0.35">
      <c r="A62" s="33" t="s">
        <v>254</v>
      </c>
      <c r="B62" s="48">
        <f>B58+1</f>
        <v>22</v>
      </c>
      <c r="C62" s="380" t="s">
        <v>92</v>
      </c>
      <c r="D62" s="71">
        <v>1</v>
      </c>
      <c r="E62" s="67" t="s">
        <v>4</v>
      </c>
      <c r="F62" s="391" t="s">
        <v>425</v>
      </c>
      <c r="G62" s="361"/>
    </row>
    <row r="63" spans="1:11" ht="51.75" customHeight="1" x14ac:dyDescent="0.35">
      <c r="A63" s="65"/>
      <c r="B63" s="280"/>
      <c r="C63" s="363"/>
      <c r="D63" s="183">
        <f>D62+1</f>
        <v>2</v>
      </c>
      <c r="E63" s="74" t="s">
        <v>5</v>
      </c>
      <c r="F63" s="376"/>
      <c r="G63" s="377"/>
    </row>
    <row r="64" spans="1:11" x14ac:dyDescent="0.35">
      <c r="A64" s="33" t="s">
        <v>254</v>
      </c>
      <c r="B64" s="22">
        <f>B62+1</f>
        <v>23</v>
      </c>
      <c r="C64" s="380" t="s">
        <v>93</v>
      </c>
      <c r="D64" s="8">
        <v>1</v>
      </c>
      <c r="E64" s="67" t="s">
        <v>4</v>
      </c>
      <c r="F64" s="391" t="s">
        <v>109</v>
      </c>
      <c r="G64" s="361"/>
    </row>
    <row r="65" spans="1:7" x14ac:dyDescent="0.35">
      <c r="A65" s="130"/>
      <c r="B65" s="64"/>
      <c r="C65" s="362"/>
      <c r="D65" s="12">
        <f>D64+1</f>
        <v>2</v>
      </c>
      <c r="E65" s="73" t="s">
        <v>94</v>
      </c>
      <c r="F65" s="347"/>
      <c r="G65" s="348"/>
    </row>
    <row r="66" spans="1:7" x14ac:dyDescent="0.35">
      <c r="A66" s="130"/>
      <c r="B66" s="64"/>
      <c r="C66" s="362"/>
      <c r="D66" s="12">
        <f>D65+1</f>
        <v>3</v>
      </c>
      <c r="E66" s="73" t="s">
        <v>95</v>
      </c>
      <c r="F66" s="347"/>
      <c r="G66" s="348"/>
    </row>
    <row r="67" spans="1:7" x14ac:dyDescent="0.35">
      <c r="A67" s="130"/>
      <c r="B67" s="64"/>
      <c r="C67" s="278"/>
      <c r="D67" s="12">
        <f>D66+1</f>
        <v>4</v>
      </c>
      <c r="E67" s="73" t="s">
        <v>96</v>
      </c>
      <c r="F67" s="347"/>
      <c r="G67" s="348"/>
    </row>
    <row r="68" spans="1:7" x14ac:dyDescent="0.35">
      <c r="A68" s="130"/>
      <c r="B68" s="64"/>
      <c r="C68" s="278"/>
      <c r="D68" s="12">
        <v>5</v>
      </c>
      <c r="E68" s="73" t="s">
        <v>97</v>
      </c>
      <c r="F68" s="347"/>
      <c r="G68" s="348"/>
    </row>
    <row r="69" spans="1:7" x14ac:dyDescent="0.35">
      <c r="A69" s="131"/>
      <c r="B69" s="280"/>
      <c r="C69" s="185"/>
      <c r="D69" s="9">
        <v>-66</v>
      </c>
      <c r="E69" s="74" t="s">
        <v>421</v>
      </c>
      <c r="F69" s="376"/>
      <c r="G69" s="377"/>
    </row>
    <row r="70" spans="1:7" x14ac:dyDescent="0.35">
      <c r="A70" s="130"/>
      <c r="B70" s="314">
        <f>B64+1</f>
        <v>24</v>
      </c>
      <c r="C70" s="385" t="s">
        <v>550</v>
      </c>
      <c r="D70" s="12">
        <v>1</v>
      </c>
      <c r="E70" s="72" t="s">
        <v>4</v>
      </c>
      <c r="F70" s="347" t="s">
        <v>426</v>
      </c>
      <c r="G70" s="348"/>
    </row>
    <row r="71" spans="1:7" ht="129" customHeight="1" x14ac:dyDescent="0.35">
      <c r="A71" s="130"/>
      <c r="B71" s="314"/>
      <c r="C71" s="385"/>
      <c r="D71" s="12">
        <v>2</v>
      </c>
      <c r="E71" s="72" t="s">
        <v>5</v>
      </c>
      <c r="F71" s="347"/>
      <c r="G71" s="348"/>
    </row>
    <row r="72" spans="1:7" ht="26" x14ac:dyDescent="0.35">
      <c r="A72" s="33"/>
      <c r="B72" s="184">
        <f>B70+1</f>
        <v>25</v>
      </c>
      <c r="C72" s="380" t="s">
        <v>98</v>
      </c>
      <c r="D72" s="8">
        <v>1</v>
      </c>
      <c r="E72" s="67" t="s">
        <v>99</v>
      </c>
      <c r="F72" s="181"/>
      <c r="G72" s="173"/>
    </row>
    <row r="73" spans="1:7" ht="26" x14ac:dyDescent="0.35">
      <c r="A73" s="130"/>
      <c r="B73" s="314"/>
      <c r="C73" s="362"/>
      <c r="D73" s="12">
        <f>D72+1</f>
        <v>2</v>
      </c>
      <c r="E73" s="72" t="s">
        <v>100</v>
      </c>
      <c r="F73" s="182"/>
      <c r="G73" s="174"/>
    </row>
    <row r="74" spans="1:7" ht="52" x14ac:dyDescent="0.35">
      <c r="A74" s="130"/>
      <c r="B74" s="351"/>
      <c r="C74" s="278"/>
      <c r="D74" s="12">
        <f>D73+1</f>
        <v>3</v>
      </c>
      <c r="E74" s="72" t="s">
        <v>101</v>
      </c>
      <c r="F74" s="347" t="s">
        <v>102</v>
      </c>
      <c r="G74" s="348"/>
    </row>
    <row r="75" spans="1:7" ht="39.75" customHeight="1" x14ac:dyDescent="0.35">
      <c r="A75" s="130"/>
      <c r="B75" s="384"/>
      <c r="C75" s="278"/>
      <c r="D75" s="12">
        <f>D74+1</f>
        <v>4</v>
      </c>
      <c r="E75" s="72" t="s">
        <v>103</v>
      </c>
      <c r="F75" s="347" t="s">
        <v>427</v>
      </c>
      <c r="G75" s="348"/>
    </row>
    <row r="76" spans="1:7" ht="68.25" customHeight="1" x14ac:dyDescent="0.35">
      <c r="A76" s="131"/>
      <c r="B76" s="317"/>
      <c r="C76" s="285"/>
      <c r="D76" s="9">
        <f>D75+1</f>
        <v>5</v>
      </c>
      <c r="E76" s="74" t="s">
        <v>104</v>
      </c>
      <c r="F76" s="347" t="s">
        <v>427</v>
      </c>
      <c r="G76" s="348"/>
    </row>
    <row r="77" spans="1:7" ht="26" x14ac:dyDescent="0.35">
      <c r="A77" s="63"/>
      <c r="B77" s="143">
        <f>B72+1</f>
        <v>26</v>
      </c>
      <c r="C77" s="362" t="s">
        <v>105</v>
      </c>
      <c r="D77" s="12">
        <v>1</v>
      </c>
      <c r="E77" s="72" t="s">
        <v>106</v>
      </c>
      <c r="F77" s="181"/>
      <c r="G77" s="173"/>
    </row>
    <row r="78" spans="1:7" ht="26" x14ac:dyDescent="0.35">
      <c r="A78" s="130"/>
      <c r="B78" s="314"/>
      <c r="C78" s="362"/>
      <c r="D78" s="12">
        <f>D77+1</f>
        <v>2</v>
      </c>
      <c r="E78" s="72" t="s">
        <v>124</v>
      </c>
      <c r="F78" s="182"/>
      <c r="G78" s="174"/>
    </row>
    <row r="79" spans="1:7" ht="27.75" customHeight="1" x14ac:dyDescent="0.35">
      <c r="A79" s="130"/>
      <c r="B79" s="314"/>
      <c r="C79" s="362"/>
      <c r="D79" s="12">
        <f>D78+1</f>
        <v>3</v>
      </c>
      <c r="E79" s="72" t="s">
        <v>107</v>
      </c>
      <c r="F79" s="347" t="s">
        <v>102</v>
      </c>
      <c r="G79" s="348"/>
    </row>
    <row r="80" spans="1:7" ht="27.75" customHeight="1" x14ac:dyDescent="0.35">
      <c r="A80" s="131"/>
      <c r="B80" s="317"/>
      <c r="C80" s="285"/>
      <c r="D80" s="9">
        <f>D79+1</f>
        <v>4</v>
      </c>
      <c r="E80" s="74" t="s">
        <v>108</v>
      </c>
      <c r="F80" s="376"/>
      <c r="G80" s="377"/>
    </row>
  </sheetData>
  <mergeCells count="61">
    <mergeCell ref="A2:G2"/>
    <mergeCell ref="F70:G71"/>
    <mergeCell ref="F54:G54"/>
    <mergeCell ref="F55:G55"/>
    <mergeCell ref="F56:G56"/>
    <mergeCell ref="F62:G63"/>
    <mergeCell ref="F64:G69"/>
    <mergeCell ref="C62:C63"/>
    <mergeCell ref="C53:C56"/>
    <mergeCell ref="D41:E41"/>
    <mergeCell ref="D42:E42"/>
    <mergeCell ref="D43:E43"/>
    <mergeCell ref="D47:E47"/>
    <mergeCell ref="D57:E57"/>
    <mergeCell ref="F79:G80"/>
    <mergeCell ref="A5:B5"/>
    <mergeCell ref="C36:C37"/>
    <mergeCell ref="C44:C45"/>
    <mergeCell ref="A58:A59"/>
    <mergeCell ref="B58:B59"/>
    <mergeCell ref="C58:C61"/>
    <mergeCell ref="C48:C52"/>
    <mergeCell ref="C77:C79"/>
    <mergeCell ref="C64:C66"/>
    <mergeCell ref="B74:B75"/>
    <mergeCell ref="C72:C73"/>
    <mergeCell ref="F74:G74"/>
    <mergeCell ref="C70:C71"/>
    <mergeCell ref="F75:G75"/>
    <mergeCell ref="F76:G76"/>
    <mergeCell ref="D46:E46"/>
    <mergeCell ref="F53:G53"/>
    <mergeCell ref="A7:B7"/>
    <mergeCell ref="D7:E7"/>
    <mergeCell ref="D29:E29"/>
    <mergeCell ref="D30:E30"/>
    <mergeCell ref="D31:E31"/>
    <mergeCell ref="D32:E32"/>
    <mergeCell ref="B35:E35"/>
    <mergeCell ref="D38:E38"/>
    <mergeCell ref="D39:E39"/>
    <mergeCell ref="D40:E40"/>
    <mergeCell ref="F9:G9"/>
    <mergeCell ref="F27:G27"/>
    <mergeCell ref="B36:B37"/>
    <mergeCell ref="A1:G1"/>
    <mergeCell ref="F44:G45"/>
    <mergeCell ref="D5:E5"/>
    <mergeCell ref="B33:B34"/>
    <mergeCell ref="A6:B6"/>
    <mergeCell ref="D6:E6"/>
    <mergeCell ref="D4:E4"/>
    <mergeCell ref="A8:B9"/>
    <mergeCell ref="C13:C18"/>
    <mergeCell ref="C19:C24"/>
    <mergeCell ref="B44:B45"/>
    <mergeCell ref="D25:E25"/>
    <mergeCell ref="D26:E26"/>
    <mergeCell ref="D27:E27"/>
    <mergeCell ref="D28:E28"/>
    <mergeCell ref="F4:G4"/>
  </mergeCells>
  <pageMargins left="0.7" right="0.7" top="0.75" bottom="0.75" header="0.3" footer="0.3"/>
  <pageSetup orientation="portrait" r:id="rId1"/>
  <headerFooter>
    <oddHeader xml:space="preserve">&amp;CA. INTRODUCTION   
</oddHeader>
  </headerFooter>
  <rowBreaks count="2" manualBreakCount="2">
    <brk id="34" max="16383" man="1"/>
    <brk id="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9"/>
  <sheetViews>
    <sheetView view="pageLayout" topLeftCell="A47" zoomScale="80" zoomScaleNormal="100" zoomScalePageLayoutView="80" workbookViewId="0">
      <selection activeCell="C8" sqref="C8"/>
    </sheetView>
  </sheetViews>
  <sheetFormatPr defaultColWidth="9.1796875" defaultRowHeight="14.5" x14ac:dyDescent="0.35"/>
  <cols>
    <col min="1" max="1" width="2.54296875" style="210" customWidth="1"/>
    <col min="2" max="2" width="4" style="210" customWidth="1"/>
    <col min="3" max="3" width="36.81640625" style="210" customWidth="1"/>
    <col min="4" max="4" width="4.453125" style="210" customWidth="1"/>
    <col min="5" max="5" width="35.26953125" style="210" customWidth="1"/>
    <col min="6" max="6" width="7" style="210" customWidth="1"/>
    <col min="7" max="16384" width="9.1796875" style="210"/>
  </cols>
  <sheetData>
    <row r="1" spans="1:8" ht="15" customHeight="1" x14ac:dyDescent="0.35">
      <c r="A1" s="79"/>
      <c r="B1" s="399" t="s">
        <v>700</v>
      </c>
      <c r="C1" s="400"/>
      <c r="D1" s="400"/>
      <c r="E1" s="400"/>
      <c r="F1" s="400"/>
      <c r="G1" s="400"/>
      <c r="H1" s="79"/>
    </row>
    <row r="2" spans="1:8" ht="15" thickBot="1" x14ac:dyDescent="0.4">
      <c r="A2" s="79"/>
      <c r="B2" s="20"/>
      <c r="C2" s="79"/>
      <c r="D2" s="79"/>
      <c r="E2" s="79"/>
      <c r="F2" s="79"/>
      <c r="G2" s="79"/>
      <c r="H2" s="20"/>
    </row>
    <row r="3" spans="1:8" ht="15" customHeight="1" thickBot="1" x14ac:dyDescent="0.4">
      <c r="A3" s="401" t="s">
        <v>806</v>
      </c>
      <c r="B3" s="402"/>
      <c r="C3" s="402"/>
      <c r="D3" s="402"/>
      <c r="E3" s="402"/>
      <c r="F3" s="402"/>
      <c r="G3" s="403"/>
    </row>
    <row r="4" spans="1:8" x14ac:dyDescent="0.35">
      <c r="A4" s="328"/>
      <c r="B4" s="329"/>
      <c r="C4" s="330"/>
      <c r="D4" s="330"/>
      <c r="E4" s="330"/>
      <c r="F4" s="330"/>
      <c r="G4" s="330"/>
    </row>
    <row r="5" spans="1:8" x14ac:dyDescent="0.35">
      <c r="A5" s="404" t="s">
        <v>0</v>
      </c>
      <c r="B5" s="405"/>
      <c r="C5" s="327" t="s">
        <v>57</v>
      </c>
      <c r="D5" s="406" t="s">
        <v>58</v>
      </c>
      <c r="E5" s="407"/>
      <c r="F5" s="408" t="s">
        <v>59</v>
      </c>
      <c r="G5" s="409"/>
    </row>
    <row r="6" spans="1:8" x14ac:dyDescent="0.35">
      <c r="A6" s="410" t="s">
        <v>52</v>
      </c>
      <c r="B6" s="411">
        <v>1</v>
      </c>
      <c r="C6" s="380" t="s">
        <v>807</v>
      </c>
      <c r="D6" s="8">
        <v>1</v>
      </c>
      <c r="E6" s="144" t="s">
        <v>126</v>
      </c>
      <c r="F6" s="220"/>
      <c r="G6" s="250"/>
    </row>
    <row r="7" spans="1:8" x14ac:dyDescent="0.35">
      <c r="A7" s="410"/>
      <c r="B7" s="411"/>
      <c r="C7" s="363"/>
      <c r="D7" s="9">
        <v>2</v>
      </c>
      <c r="E7" s="145" t="s">
        <v>127</v>
      </c>
      <c r="F7" s="131"/>
      <c r="G7" s="331"/>
    </row>
    <row r="8" spans="1:8" ht="80.5" x14ac:dyDescent="0.35">
      <c r="A8" s="318" t="s">
        <v>128</v>
      </c>
      <c r="B8" s="221" t="s">
        <v>24</v>
      </c>
      <c r="C8" s="144" t="s">
        <v>808</v>
      </c>
      <c r="D8" s="412" t="s">
        <v>701</v>
      </c>
      <c r="E8" s="413"/>
      <c r="F8" s="130"/>
      <c r="G8" s="332"/>
    </row>
    <row r="9" spans="1:8" x14ac:dyDescent="0.35">
      <c r="A9" s="410" t="s">
        <v>52</v>
      </c>
      <c r="B9" s="221" t="s">
        <v>14</v>
      </c>
      <c r="C9" s="144" t="s">
        <v>809</v>
      </c>
      <c r="D9" s="29">
        <v>1</v>
      </c>
      <c r="E9" s="144" t="s">
        <v>702</v>
      </c>
      <c r="F9" s="220"/>
      <c r="G9" s="250"/>
    </row>
    <row r="10" spans="1:8" x14ac:dyDescent="0.35">
      <c r="A10" s="410"/>
      <c r="B10" s="222"/>
      <c r="C10" s="23"/>
      <c r="D10" s="30">
        <f>D9+1</f>
        <v>2</v>
      </c>
      <c r="E10" s="23" t="s">
        <v>760</v>
      </c>
      <c r="F10" s="130"/>
      <c r="G10" s="332"/>
    </row>
    <row r="11" spans="1:8" x14ac:dyDescent="0.35">
      <c r="A11" s="414"/>
      <c r="B11" s="222"/>
      <c r="C11" s="23"/>
      <c r="D11" s="30">
        <f>D10+1</f>
        <v>3</v>
      </c>
      <c r="E11" s="23" t="s">
        <v>703</v>
      </c>
      <c r="F11" s="130"/>
      <c r="G11" s="332"/>
    </row>
    <row r="12" spans="1:8" ht="26" x14ac:dyDescent="0.35">
      <c r="A12" s="319"/>
      <c r="B12" s="222"/>
      <c r="C12" s="23"/>
      <c r="D12" s="30">
        <f>D11+1</f>
        <v>4</v>
      </c>
      <c r="E12" s="23" t="s">
        <v>704</v>
      </c>
      <c r="F12" s="130"/>
      <c r="G12" s="332"/>
    </row>
    <row r="13" spans="1:8" ht="26" x14ac:dyDescent="0.35">
      <c r="A13" s="299"/>
      <c r="B13" s="300"/>
      <c r="C13" s="145"/>
      <c r="D13" s="31">
        <f>D12+1</f>
        <v>5</v>
      </c>
      <c r="E13" s="23" t="s">
        <v>705</v>
      </c>
      <c r="F13" s="131"/>
      <c r="G13" s="331"/>
    </row>
    <row r="14" spans="1:8" x14ac:dyDescent="0.35">
      <c r="A14" s="414" t="s">
        <v>52</v>
      </c>
      <c r="B14" s="221" t="s">
        <v>18</v>
      </c>
      <c r="C14" s="144" t="s">
        <v>706</v>
      </c>
      <c r="D14" s="29">
        <v>1</v>
      </c>
      <c r="E14" s="144" t="s">
        <v>707</v>
      </c>
      <c r="F14" s="420" t="s">
        <v>708</v>
      </c>
      <c r="G14" s="421"/>
    </row>
    <row r="15" spans="1:8" x14ac:dyDescent="0.35">
      <c r="A15" s="419"/>
      <c r="B15" s="222"/>
      <c r="C15" s="23" t="s">
        <v>709</v>
      </c>
      <c r="D15" s="30">
        <f>D14+1</f>
        <v>2</v>
      </c>
      <c r="E15" s="23" t="s">
        <v>710</v>
      </c>
      <c r="F15" s="417" t="s">
        <v>711</v>
      </c>
      <c r="G15" s="418"/>
    </row>
    <row r="16" spans="1:8" ht="26" x14ac:dyDescent="0.35">
      <c r="A16" s="419"/>
      <c r="B16" s="222"/>
      <c r="C16" s="362" t="s">
        <v>712</v>
      </c>
      <c r="D16" s="30">
        <f>D15+1</f>
        <v>3</v>
      </c>
      <c r="E16" s="23" t="s">
        <v>713</v>
      </c>
      <c r="F16" s="417" t="s">
        <v>711</v>
      </c>
      <c r="G16" s="418"/>
    </row>
    <row r="17" spans="1:7" ht="26" x14ac:dyDescent="0.35">
      <c r="A17" s="319"/>
      <c r="B17" s="222"/>
      <c r="C17" s="362"/>
      <c r="D17" s="30">
        <f>D16+1</f>
        <v>4</v>
      </c>
      <c r="E17" s="23" t="s">
        <v>714</v>
      </c>
      <c r="F17" s="417" t="s">
        <v>711</v>
      </c>
      <c r="G17" s="418"/>
    </row>
    <row r="18" spans="1:7" ht="26" x14ac:dyDescent="0.35">
      <c r="A18" s="319"/>
      <c r="B18" s="222"/>
      <c r="C18" s="362"/>
      <c r="D18" s="30">
        <f>D17+1</f>
        <v>5</v>
      </c>
      <c r="E18" s="23" t="s">
        <v>704</v>
      </c>
      <c r="F18" s="130"/>
      <c r="G18" s="332"/>
    </row>
    <row r="19" spans="1:7" ht="26" x14ac:dyDescent="0.35">
      <c r="A19" s="299"/>
      <c r="B19" s="300"/>
      <c r="C19" s="145"/>
      <c r="D19" s="31">
        <f>D18+1</f>
        <v>6</v>
      </c>
      <c r="E19" s="145" t="s">
        <v>705</v>
      </c>
      <c r="F19" s="131"/>
      <c r="G19" s="331"/>
    </row>
    <row r="20" spans="1:7" x14ac:dyDescent="0.35">
      <c r="A20" s="318" t="s">
        <v>128</v>
      </c>
      <c r="B20" s="320" t="s">
        <v>19</v>
      </c>
      <c r="C20" s="218" t="s">
        <v>715</v>
      </c>
      <c r="D20" s="415" t="s">
        <v>810</v>
      </c>
      <c r="E20" s="416"/>
      <c r="F20" s="417" t="s">
        <v>716</v>
      </c>
      <c r="G20" s="418"/>
    </row>
    <row r="21" spans="1:7" ht="26" x14ac:dyDescent="0.35">
      <c r="A21" s="318" t="s">
        <v>128</v>
      </c>
      <c r="B21" s="320" t="s">
        <v>717</v>
      </c>
      <c r="C21" s="218" t="s">
        <v>718</v>
      </c>
      <c r="D21" s="415" t="s">
        <v>811</v>
      </c>
      <c r="E21" s="416"/>
      <c r="F21" s="333"/>
      <c r="G21" s="334"/>
    </row>
    <row r="22" spans="1:7" x14ac:dyDescent="0.35">
      <c r="A22" s="318" t="s">
        <v>128</v>
      </c>
      <c r="B22" s="221">
        <v>4</v>
      </c>
      <c r="C22" s="335" t="s">
        <v>719</v>
      </c>
      <c r="D22" s="8">
        <v>1</v>
      </c>
      <c r="E22" s="195" t="s">
        <v>720</v>
      </c>
      <c r="F22" s="220"/>
      <c r="G22" s="250"/>
    </row>
    <row r="23" spans="1:7" x14ac:dyDescent="0.35">
      <c r="A23" s="130"/>
      <c r="B23" s="222"/>
      <c r="C23" s="315"/>
      <c r="D23" s="12">
        <f t="shared" ref="D23:D36" si="0">D22+1</f>
        <v>2</v>
      </c>
      <c r="E23" s="195" t="s">
        <v>721</v>
      </c>
      <c r="F23" s="130"/>
      <c r="G23" s="332"/>
    </row>
    <row r="24" spans="1:7" x14ac:dyDescent="0.35">
      <c r="A24" s="130"/>
      <c r="B24" s="222"/>
      <c r="C24" s="278"/>
      <c r="D24" s="12">
        <f t="shared" si="0"/>
        <v>3</v>
      </c>
      <c r="E24" s="195" t="s">
        <v>722</v>
      </c>
      <c r="F24" s="130"/>
      <c r="G24" s="332"/>
    </row>
    <row r="25" spans="1:7" x14ac:dyDescent="0.35">
      <c r="A25" s="130"/>
      <c r="B25" s="222"/>
      <c r="C25" s="278"/>
      <c r="D25" s="12">
        <f t="shared" si="0"/>
        <v>4</v>
      </c>
      <c r="E25" s="195" t="s">
        <v>723</v>
      </c>
      <c r="F25" s="130"/>
      <c r="G25" s="332"/>
    </row>
    <row r="26" spans="1:7" x14ac:dyDescent="0.35">
      <c r="A26" s="130"/>
      <c r="B26" s="222"/>
      <c r="C26" s="278"/>
      <c r="D26" s="12">
        <f t="shared" si="0"/>
        <v>5</v>
      </c>
      <c r="E26" s="195" t="s">
        <v>724</v>
      </c>
      <c r="F26" s="130"/>
      <c r="G26" s="332"/>
    </row>
    <row r="27" spans="1:7" x14ac:dyDescent="0.35">
      <c r="A27" s="130"/>
      <c r="B27" s="222"/>
      <c r="C27" s="278"/>
      <c r="D27" s="12">
        <f t="shared" si="0"/>
        <v>6</v>
      </c>
      <c r="E27" s="195" t="s">
        <v>725</v>
      </c>
      <c r="F27" s="130"/>
      <c r="G27" s="332"/>
    </row>
    <row r="28" spans="1:7" x14ac:dyDescent="0.35">
      <c r="A28" s="130"/>
      <c r="B28" s="222"/>
      <c r="C28" s="278"/>
      <c r="D28" s="12">
        <f t="shared" si="0"/>
        <v>7</v>
      </c>
      <c r="E28" s="195" t="s">
        <v>726</v>
      </c>
      <c r="F28" s="130"/>
      <c r="G28" s="332"/>
    </row>
    <row r="29" spans="1:7" x14ac:dyDescent="0.35">
      <c r="A29" s="130"/>
      <c r="B29" s="222"/>
      <c r="C29" s="278"/>
      <c r="D29" s="12">
        <f t="shared" si="0"/>
        <v>8</v>
      </c>
      <c r="E29" s="195" t="s">
        <v>727</v>
      </c>
      <c r="F29" s="130"/>
      <c r="G29" s="332"/>
    </row>
    <row r="30" spans="1:7" x14ac:dyDescent="0.35">
      <c r="A30" s="130"/>
      <c r="B30" s="222"/>
      <c r="C30" s="278"/>
      <c r="D30" s="12">
        <f t="shared" si="0"/>
        <v>9</v>
      </c>
      <c r="E30" s="195" t="s">
        <v>728</v>
      </c>
      <c r="F30" s="130"/>
      <c r="G30" s="332"/>
    </row>
    <row r="31" spans="1:7" x14ac:dyDescent="0.35">
      <c r="A31" s="130"/>
      <c r="B31" s="222"/>
      <c r="C31" s="278"/>
      <c r="D31" s="12">
        <f t="shared" si="0"/>
        <v>10</v>
      </c>
      <c r="E31" s="195" t="s">
        <v>729</v>
      </c>
      <c r="F31" s="130"/>
      <c r="G31" s="332"/>
    </row>
    <row r="32" spans="1:7" x14ac:dyDescent="0.35">
      <c r="A32" s="130"/>
      <c r="B32" s="222"/>
      <c r="C32" s="278"/>
      <c r="D32" s="12">
        <f t="shared" si="0"/>
        <v>11</v>
      </c>
      <c r="E32" s="195" t="s">
        <v>730</v>
      </c>
      <c r="F32" s="130"/>
      <c r="G32" s="332"/>
    </row>
    <row r="33" spans="1:7" x14ac:dyDescent="0.35">
      <c r="A33" s="130"/>
      <c r="B33" s="222"/>
      <c r="C33" s="278"/>
      <c r="D33" s="12">
        <f t="shared" si="0"/>
        <v>12</v>
      </c>
      <c r="E33" s="195" t="s">
        <v>731</v>
      </c>
      <c r="F33" s="130"/>
      <c r="G33" s="332"/>
    </row>
    <row r="34" spans="1:7" x14ac:dyDescent="0.35">
      <c r="A34" s="130"/>
      <c r="B34" s="222"/>
      <c r="C34" s="278"/>
      <c r="D34" s="12">
        <f t="shared" si="0"/>
        <v>13</v>
      </c>
      <c r="E34" s="195" t="s">
        <v>732</v>
      </c>
      <c r="F34" s="130"/>
      <c r="G34" s="332"/>
    </row>
    <row r="35" spans="1:7" x14ac:dyDescent="0.35">
      <c r="A35" s="130"/>
      <c r="B35" s="222"/>
      <c r="C35" s="278"/>
      <c r="D35" s="12">
        <f t="shared" si="0"/>
        <v>14</v>
      </c>
      <c r="E35" s="195" t="s">
        <v>129</v>
      </c>
      <c r="F35" s="130"/>
      <c r="G35" s="332"/>
    </row>
    <row r="36" spans="1:7" x14ac:dyDescent="0.35">
      <c r="A36" s="130"/>
      <c r="B36" s="222"/>
      <c r="C36" s="278"/>
      <c r="D36" s="12">
        <f t="shared" si="0"/>
        <v>15</v>
      </c>
      <c r="E36" s="195" t="s">
        <v>733</v>
      </c>
      <c r="F36" s="130"/>
      <c r="G36" s="332"/>
    </row>
    <row r="37" spans="1:7" x14ac:dyDescent="0.35">
      <c r="A37" s="130"/>
      <c r="B37" s="222"/>
      <c r="C37" s="278"/>
      <c r="D37" s="12">
        <v>-96</v>
      </c>
      <c r="E37" s="23" t="s">
        <v>812</v>
      </c>
      <c r="F37" s="130"/>
      <c r="G37" s="332"/>
    </row>
    <row r="38" spans="1:7" x14ac:dyDescent="0.35">
      <c r="A38" s="130"/>
      <c r="B38" s="222"/>
      <c r="C38" s="278"/>
      <c r="D38" s="12">
        <v>-98</v>
      </c>
      <c r="E38" s="23" t="s">
        <v>7</v>
      </c>
      <c r="F38" s="130"/>
      <c r="G38" s="332"/>
    </row>
    <row r="39" spans="1:7" x14ac:dyDescent="0.35">
      <c r="A39" s="131"/>
      <c r="B39" s="300"/>
      <c r="C39" s="278"/>
      <c r="D39" s="9">
        <v>-99</v>
      </c>
      <c r="E39" s="145" t="s">
        <v>20</v>
      </c>
      <c r="F39" s="131"/>
      <c r="G39" s="331"/>
    </row>
    <row r="40" spans="1:7" x14ac:dyDescent="0.35">
      <c r="A40" s="318" t="s">
        <v>128</v>
      </c>
      <c r="B40" s="221">
        <f>B22+1</f>
        <v>5</v>
      </c>
      <c r="C40" s="276" t="s">
        <v>734</v>
      </c>
      <c r="D40" s="12">
        <v>1</v>
      </c>
      <c r="E40" s="23" t="s">
        <v>735</v>
      </c>
      <c r="F40" s="130"/>
      <c r="G40" s="332"/>
    </row>
    <row r="41" spans="1:7" x14ac:dyDescent="0.35">
      <c r="A41" s="130"/>
      <c r="B41" s="222"/>
      <c r="C41" s="278"/>
      <c r="D41" s="12">
        <f t="shared" ref="D41:D47" si="1">D40+1</f>
        <v>2</v>
      </c>
      <c r="E41" s="23" t="s">
        <v>736</v>
      </c>
      <c r="F41" s="130"/>
      <c r="G41" s="332"/>
    </row>
    <row r="42" spans="1:7" x14ac:dyDescent="0.35">
      <c r="A42" s="130"/>
      <c r="B42" s="222"/>
      <c r="C42" s="278"/>
      <c r="D42" s="12">
        <f t="shared" si="1"/>
        <v>3</v>
      </c>
      <c r="E42" s="23" t="s">
        <v>737</v>
      </c>
      <c r="F42" s="130"/>
      <c r="G42" s="332"/>
    </row>
    <row r="43" spans="1:7" x14ac:dyDescent="0.35">
      <c r="A43" s="130"/>
      <c r="B43" s="222"/>
      <c r="C43" s="278"/>
      <c r="D43" s="12">
        <f t="shared" si="1"/>
        <v>4</v>
      </c>
      <c r="E43" s="23" t="s">
        <v>738</v>
      </c>
      <c r="F43" s="130"/>
      <c r="G43" s="332"/>
    </row>
    <row r="44" spans="1:7" x14ac:dyDescent="0.35">
      <c r="A44" s="130"/>
      <c r="B44" s="222"/>
      <c r="C44" s="278"/>
      <c r="D44" s="12">
        <f t="shared" si="1"/>
        <v>5</v>
      </c>
      <c r="E44" s="23" t="s">
        <v>739</v>
      </c>
      <c r="F44" s="130"/>
      <c r="G44" s="332"/>
    </row>
    <row r="45" spans="1:7" x14ac:dyDescent="0.35">
      <c r="A45" s="130"/>
      <c r="B45" s="222"/>
      <c r="C45" s="278"/>
      <c r="D45" s="12">
        <f t="shared" si="1"/>
        <v>6</v>
      </c>
      <c r="E45" s="23" t="s">
        <v>740</v>
      </c>
      <c r="F45" s="130"/>
      <c r="G45" s="332"/>
    </row>
    <row r="46" spans="1:7" x14ac:dyDescent="0.35">
      <c r="A46" s="130"/>
      <c r="B46" s="222"/>
      <c r="C46" s="278"/>
      <c r="D46" s="12">
        <f t="shared" si="1"/>
        <v>7</v>
      </c>
      <c r="E46" s="23" t="s">
        <v>741</v>
      </c>
      <c r="F46" s="130"/>
      <c r="G46" s="332"/>
    </row>
    <row r="47" spans="1:7" x14ac:dyDescent="0.35">
      <c r="A47" s="130"/>
      <c r="B47" s="222"/>
      <c r="C47" s="278"/>
      <c r="D47" s="12">
        <f t="shared" si="1"/>
        <v>8</v>
      </c>
      <c r="E47" s="23" t="s">
        <v>742</v>
      </c>
      <c r="F47" s="130"/>
      <c r="G47" s="332"/>
    </row>
    <row r="48" spans="1:7" ht="39" x14ac:dyDescent="0.35">
      <c r="A48" s="130"/>
      <c r="B48" s="222"/>
      <c r="C48" s="278"/>
      <c r="D48" s="12">
        <v>9</v>
      </c>
      <c r="E48" s="23" t="s">
        <v>743</v>
      </c>
      <c r="F48" s="130"/>
      <c r="G48" s="332"/>
    </row>
    <row r="49" spans="1:7" x14ac:dyDescent="0.35">
      <c r="A49" s="130"/>
      <c r="B49" s="222"/>
      <c r="C49" s="278"/>
      <c r="D49" s="301">
        <v>-96</v>
      </c>
      <c r="E49" s="302" t="s">
        <v>813</v>
      </c>
      <c r="F49" s="130"/>
      <c r="G49" s="332"/>
    </row>
    <row r="50" spans="1:7" x14ac:dyDescent="0.35">
      <c r="A50" s="130"/>
      <c r="B50" s="222"/>
      <c r="C50" s="278"/>
      <c r="D50" s="12">
        <v>-98</v>
      </c>
      <c r="E50" s="23" t="s">
        <v>7</v>
      </c>
      <c r="F50" s="130"/>
      <c r="G50" s="332"/>
    </row>
    <row r="51" spans="1:7" x14ac:dyDescent="0.35">
      <c r="A51" s="131"/>
      <c r="B51" s="222"/>
      <c r="C51" s="285"/>
      <c r="D51" s="9">
        <v>-99</v>
      </c>
      <c r="E51" s="145" t="s">
        <v>20</v>
      </c>
      <c r="F51" s="130"/>
      <c r="G51" s="332"/>
    </row>
    <row r="52" spans="1:7" x14ac:dyDescent="0.35">
      <c r="A52" s="318" t="s">
        <v>128</v>
      </c>
      <c r="B52" s="221">
        <f>B40+1</f>
        <v>6</v>
      </c>
      <c r="C52" s="336" t="s">
        <v>130</v>
      </c>
      <c r="D52" s="8">
        <v>1</v>
      </c>
      <c r="E52" s="144" t="s">
        <v>131</v>
      </c>
      <c r="F52" s="80"/>
      <c r="G52" s="217"/>
    </row>
    <row r="53" spans="1:7" ht="26" x14ac:dyDescent="0.35">
      <c r="A53" s="319"/>
      <c r="B53" s="222"/>
      <c r="C53" s="335"/>
      <c r="D53" s="12">
        <f>D52+1</f>
        <v>2</v>
      </c>
      <c r="E53" s="23" t="s">
        <v>132</v>
      </c>
      <c r="F53" s="81"/>
      <c r="G53" s="143"/>
    </row>
    <row r="54" spans="1:7" x14ac:dyDescent="0.35">
      <c r="A54" s="130"/>
      <c r="B54" s="222"/>
      <c r="C54" s="278"/>
      <c r="D54" s="12">
        <f>D53+1</f>
        <v>3</v>
      </c>
      <c r="E54" s="23" t="s">
        <v>133</v>
      </c>
      <c r="F54" s="81"/>
      <c r="G54" s="143"/>
    </row>
    <row r="55" spans="1:7" x14ac:dyDescent="0.35">
      <c r="A55" s="130"/>
      <c r="B55" s="222"/>
      <c r="C55" s="278"/>
      <c r="D55" s="12">
        <f>D54+1</f>
        <v>4</v>
      </c>
      <c r="E55" s="23" t="s">
        <v>134</v>
      </c>
      <c r="F55" s="81"/>
      <c r="G55" s="143"/>
    </row>
    <row r="56" spans="1:7" x14ac:dyDescent="0.35">
      <c r="A56" s="130"/>
      <c r="B56" s="222"/>
      <c r="C56" s="278"/>
      <c r="D56" s="12">
        <f>D55+1</f>
        <v>5</v>
      </c>
      <c r="E56" s="23" t="s">
        <v>135</v>
      </c>
      <c r="F56" s="81"/>
      <c r="G56" s="143"/>
    </row>
    <row r="57" spans="1:7" x14ac:dyDescent="0.35">
      <c r="A57" s="130"/>
      <c r="B57" s="337"/>
      <c r="C57" s="278"/>
      <c r="D57" s="12">
        <f>D56+1</f>
        <v>6</v>
      </c>
      <c r="E57" s="23" t="s">
        <v>136</v>
      </c>
      <c r="F57" s="81"/>
      <c r="G57" s="143"/>
    </row>
    <row r="58" spans="1:7" x14ac:dyDescent="0.35">
      <c r="A58" s="130"/>
      <c r="B58" s="337"/>
      <c r="C58" s="278"/>
      <c r="D58" s="12">
        <v>-98</v>
      </c>
      <c r="E58" s="23" t="s">
        <v>7</v>
      </c>
      <c r="F58" s="81"/>
      <c r="G58" s="143"/>
    </row>
    <row r="59" spans="1:7" x14ac:dyDescent="0.35">
      <c r="A59" s="131"/>
      <c r="B59" s="338"/>
      <c r="C59" s="285"/>
      <c r="D59" s="9">
        <v>-99</v>
      </c>
      <c r="E59" s="145" t="s">
        <v>20</v>
      </c>
      <c r="F59" s="81"/>
      <c r="G59" s="143"/>
    </row>
  </sheetData>
  <mergeCells count="19">
    <mergeCell ref="D20:E20"/>
    <mergeCell ref="F20:G20"/>
    <mergeCell ref="D21:E21"/>
    <mergeCell ref="A14:A16"/>
    <mergeCell ref="F14:G14"/>
    <mergeCell ref="F15:G15"/>
    <mergeCell ref="C16:C18"/>
    <mergeCell ref="F16:G16"/>
    <mergeCell ref="F17:G17"/>
    <mergeCell ref="A6:A7"/>
    <mergeCell ref="B6:B7"/>
    <mergeCell ref="C6:C7"/>
    <mergeCell ref="D8:E8"/>
    <mergeCell ref="A9:A11"/>
    <mergeCell ref="B1:G1"/>
    <mergeCell ref="A3:G3"/>
    <mergeCell ref="A5:B5"/>
    <mergeCell ref="D5:E5"/>
    <mergeCell ref="F5:G5"/>
  </mergeCells>
  <pageMargins left="0.7" right="0.7" top="0.75" bottom="0.75" header="0.3" footer="0.3"/>
  <pageSetup scale="66" orientation="portrait" r:id="rId1"/>
  <headerFooter>
    <oddHeader xml:space="preserve">&amp;CB. Basic Info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showWhiteSpace="0" view="pageLayout" zoomScaleNormal="100" workbookViewId="0">
      <selection sqref="A1:G2"/>
    </sheetView>
  </sheetViews>
  <sheetFormatPr defaultColWidth="9.1796875" defaultRowHeight="13" x14ac:dyDescent="0.3"/>
  <cols>
    <col min="1" max="1" width="2.1796875" style="35" bestFit="1" customWidth="1"/>
    <col min="2" max="2" width="2.81640625" style="168" bestFit="1" customWidth="1"/>
    <col min="3" max="3" width="42.7265625" style="5" customWidth="1"/>
    <col min="4" max="4" width="3.54296875" style="5" customWidth="1"/>
    <col min="5" max="5" width="14.7265625" style="5" customWidth="1"/>
    <col min="6" max="6" width="9.54296875" style="5" customWidth="1"/>
    <col min="7" max="7" width="11" style="5" customWidth="1"/>
    <col min="8" max="16384" width="9.1796875" style="5"/>
  </cols>
  <sheetData>
    <row r="1" spans="1:7" ht="12.75" customHeight="1" x14ac:dyDescent="0.3">
      <c r="A1" s="430" t="s">
        <v>537</v>
      </c>
      <c r="B1" s="431"/>
      <c r="C1" s="431"/>
      <c r="D1" s="431"/>
      <c r="E1" s="431"/>
      <c r="F1" s="431"/>
      <c r="G1" s="431"/>
    </row>
    <row r="2" spans="1:7" ht="136.5" customHeight="1" x14ac:dyDescent="0.3">
      <c r="A2" s="432"/>
      <c r="B2" s="433"/>
      <c r="C2" s="433"/>
      <c r="D2" s="433"/>
      <c r="E2" s="433"/>
      <c r="F2" s="433"/>
      <c r="G2" s="433"/>
    </row>
    <row r="3" spans="1:7" ht="47.25" customHeight="1" x14ac:dyDescent="0.3">
      <c r="A3" s="440" t="s">
        <v>543</v>
      </c>
      <c r="B3" s="441"/>
      <c r="C3" s="441"/>
      <c r="D3" s="441"/>
      <c r="E3" s="441"/>
      <c r="F3" s="441"/>
      <c r="G3" s="441"/>
    </row>
    <row r="4" spans="1:7" x14ac:dyDescent="0.3">
      <c r="A4" s="113"/>
      <c r="B4" s="113"/>
      <c r="C4" s="126"/>
      <c r="D4" s="113"/>
      <c r="E4" s="113"/>
      <c r="F4" s="113"/>
      <c r="G4" s="113"/>
    </row>
    <row r="5" spans="1:7" x14ac:dyDescent="0.3">
      <c r="A5" s="434" t="s">
        <v>551</v>
      </c>
      <c r="B5" s="435"/>
      <c r="C5" s="435"/>
      <c r="D5" s="435"/>
      <c r="E5" s="435"/>
      <c r="F5" s="435"/>
      <c r="G5" s="435"/>
    </row>
    <row r="6" spans="1:7" ht="33.75" customHeight="1" x14ac:dyDescent="0.3">
      <c r="A6" s="436"/>
      <c r="B6" s="437"/>
      <c r="C6" s="437"/>
      <c r="D6" s="437"/>
      <c r="E6" s="437"/>
      <c r="F6" s="437"/>
      <c r="G6" s="437"/>
    </row>
    <row r="7" spans="1:7" ht="21" customHeight="1" x14ac:dyDescent="0.3">
      <c r="A7" s="438" t="s">
        <v>0</v>
      </c>
      <c r="B7" s="439"/>
      <c r="C7" s="438" t="s">
        <v>253</v>
      </c>
      <c r="D7" s="444"/>
      <c r="E7" s="444"/>
      <c r="F7" s="444"/>
      <c r="G7" s="444"/>
    </row>
    <row r="8" spans="1:7" ht="56.25" customHeight="1" x14ac:dyDescent="0.3">
      <c r="A8" s="178"/>
      <c r="B8" s="79"/>
      <c r="C8" s="223" t="s">
        <v>533</v>
      </c>
      <c r="D8" s="216"/>
      <c r="E8" s="224"/>
      <c r="F8" s="442" t="s">
        <v>272</v>
      </c>
      <c r="G8" s="442"/>
    </row>
    <row r="9" spans="1:7" ht="15" customHeight="1" x14ac:dyDescent="0.3">
      <c r="A9" s="178" t="s">
        <v>215</v>
      </c>
      <c r="B9" s="67">
        <v>1</v>
      </c>
      <c r="C9" s="443" t="s">
        <v>552</v>
      </c>
      <c r="D9" s="1">
        <v>1</v>
      </c>
      <c r="E9" s="2" t="s">
        <v>4</v>
      </c>
      <c r="F9" s="225" t="s">
        <v>49</v>
      </c>
      <c r="G9" s="226" t="s">
        <v>50</v>
      </c>
    </row>
    <row r="10" spans="1:7" x14ac:dyDescent="0.3">
      <c r="A10" s="170"/>
      <c r="B10" s="72"/>
      <c r="C10" s="426"/>
      <c r="D10" s="3">
        <v>2</v>
      </c>
      <c r="E10" s="4" t="s">
        <v>5</v>
      </c>
      <c r="F10" s="125"/>
      <c r="G10" s="195"/>
    </row>
    <row r="11" spans="1:7" x14ac:dyDescent="0.3">
      <c r="A11" s="170"/>
      <c r="B11" s="72"/>
      <c r="C11" s="426"/>
      <c r="D11" s="125">
        <v>-88</v>
      </c>
      <c r="E11" s="100" t="s">
        <v>7</v>
      </c>
      <c r="F11" s="125"/>
      <c r="G11" s="195"/>
    </row>
    <row r="12" spans="1:7" ht="24" customHeight="1" x14ac:dyDescent="0.3">
      <c r="A12" s="171"/>
      <c r="B12" s="74"/>
      <c r="C12" s="426"/>
      <c r="D12" s="125">
        <v>-99</v>
      </c>
      <c r="E12" s="100" t="s">
        <v>6</v>
      </c>
      <c r="F12" s="125"/>
      <c r="G12" s="195"/>
    </row>
    <row r="13" spans="1:7" ht="15" customHeight="1" x14ac:dyDescent="0.3">
      <c r="A13" s="170" t="s">
        <v>215</v>
      </c>
      <c r="B13" s="72">
        <f>B9+1</f>
        <v>2</v>
      </c>
      <c r="C13" s="443" t="s">
        <v>553</v>
      </c>
      <c r="D13" s="1">
        <v>1</v>
      </c>
      <c r="E13" s="2" t="s">
        <v>4</v>
      </c>
      <c r="F13" s="68" t="s">
        <v>49</v>
      </c>
      <c r="G13" s="226" t="s">
        <v>50</v>
      </c>
    </row>
    <row r="14" spans="1:7" x14ac:dyDescent="0.3">
      <c r="A14" s="170"/>
      <c r="B14" s="72"/>
      <c r="C14" s="426"/>
      <c r="D14" s="3">
        <v>2</v>
      </c>
      <c r="E14" s="4" t="s">
        <v>5</v>
      </c>
      <c r="F14" s="125"/>
      <c r="G14" s="195"/>
    </row>
    <row r="15" spans="1:7" x14ac:dyDescent="0.3">
      <c r="A15" s="170"/>
      <c r="B15" s="72"/>
      <c r="C15" s="426"/>
      <c r="D15" s="125">
        <v>-88</v>
      </c>
      <c r="E15" s="100" t="s">
        <v>7</v>
      </c>
      <c r="F15" s="125"/>
      <c r="G15" s="195"/>
    </row>
    <row r="16" spans="1:7" x14ac:dyDescent="0.3">
      <c r="A16" s="170"/>
      <c r="B16" s="72"/>
      <c r="C16" s="426"/>
      <c r="D16" s="125">
        <v>-99</v>
      </c>
      <c r="E16" s="100" t="s">
        <v>6</v>
      </c>
      <c r="F16" s="125"/>
      <c r="G16" s="195"/>
    </row>
    <row r="17" spans="1:7" ht="15" customHeight="1" x14ac:dyDescent="0.3">
      <c r="A17" s="178" t="s">
        <v>215</v>
      </c>
      <c r="B17" s="67">
        <f>B13+1</f>
        <v>3</v>
      </c>
      <c r="C17" s="443" t="s">
        <v>554</v>
      </c>
      <c r="D17" s="1">
        <v>1</v>
      </c>
      <c r="E17" s="2" t="s">
        <v>4</v>
      </c>
      <c r="F17" s="68" t="s">
        <v>49</v>
      </c>
      <c r="G17" s="226" t="s">
        <v>50</v>
      </c>
    </row>
    <row r="18" spans="1:7" x14ac:dyDescent="0.3">
      <c r="A18" s="170"/>
      <c r="B18" s="72"/>
      <c r="C18" s="426"/>
      <c r="D18" s="3">
        <v>2</v>
      </c>
      <c r="E18" s="4" t="s">
        <v>5</v>
      </c>
      <c r="F18" s="125"/>
      <c r="G18" s="195"/>
    </row>
    <row r="19" spans="1:7" x14ac:dyDescent="0.3">
      <c r="A19" s="170"/>
      <c r="B19" s="72"/>
      <c r="C19" s="426"/>
      <c r="D19" s="125">
        <v>-88</v>
      </c>
      <c r="E19" s="100" t="s">
        <v>7</v>
      </c>
      <c r="F19" s="125"/>
      <c r="G19" s="195"/>
    </row>
    <row r="20" spans="1:7" x14ac:dyDescent="0.3">
      <c r="A20" s="171"/>
      <c r="B20" s="74"/>
      <c r="C20" s="426"/>
      <c r="D20" s="125">
        <v>-99</v>
      </c>
      <c r="E20" s="100" t="s">
        <v>6</v>
      </c>
      <c r="F20" s="125"/>
      <c r="G20" s="195"/>
    </row>
    <row r="21" spans="1:7" x14ac:dyDescent="0.3">
      <c r="A21" s="170" t="s">
        <v>215</v>
      </c>
      <c r="B21" s="72">
        <f>B17+1</f>
        <v>4</v>
      </c>
      <c r="C21" s="443" t="s">
        <v>555</v>
      </c>
      <c r="D21" s="1">
        <v>1</v>
      </c>
      <c r="E21" s="2" t="s">
        <v>4</v>
      </c>
      <c r="F21" s="68" t="s">
        <v>49</v>
      </c>
      <c r="G21" s="226" t="s">
        <v>50</v>
      </c>
    </row>
    <row r="22" spans="1:7" x14ac:dyDescent="0.3">
      <c r="A22" s="170"/>
      <c r="B22" s="72"/>
      <c r="C22" s="426"/>
      <c r="D22" s="3">
        <v>2</v>
      </c>
      <c r="E22" s="4" t="s">
        <v>5</v>
      </c>
      <c r="F22" s="125"/>
      <c r="G22" s="195"/>
    </row>
    <row r="23" spans="1:7" x14ac:dyDescent="0.3">
      <c r="A23" s="170"/>
      <c r="B23" s="72"/>
      <c r="C23" s="426"/>
      <c r="D23" s="125">
        <v>-88</v>
      </c>
      <c r="E23" s="100" t="s">
        <v>7</v>
      </c>
      <c r="F23" s="125"/>
      <c r="G23" s="195"/>
    </row>
    <row r="24" spans="1:7" x14ac:dyDescent="0.3">
      <c r="A24" s="170"/>
      <c r="B24" s="72"/>
      <c r="C24" s="427"/>
      <c r="D24" s="125">
        <v>-99</v>
      </c>
      <c r="E24" s="100" t="s">
        <v>6</v>
      </c>
      <c r="F24" s="125"/>
      <c r="G24" s="195"/>
    </row>
    <row r="25" spans="1:7" x14ac:dyDescent="0.3">
      <c r="A25" s="178" t="s">
        <v>215</v>
      </c>
      <c r="B25" s="67">
        <f>B21+1</f>
        <v>5</v>
      </c>
      <c r="C25" s="443" t="s">
        <v>556</v>
      </c>
      <c r="D25" s="1">
        <v>1</v>
      </c>
      <c r="E25" s="2" t="s">
        <v>4</v>
      </c>
      <c r="F25" s="68" t="s">
        <v>49</v>
      </c>
      <c r="G25" s="226" t="s">
        <v>50</v>
      </c>
    </row>
    <row r="26" spans="1:7" x14ac:dyDescent="0.3">
      <c r="A26" s="170"/>
      <c r="B26" s="72"/>
      <c r="C26" s="426"/>
      <c r="D26" s="3">
        <v>2</v>
      </c>
      <c r="E26" s="4" t="s">
        <v>5</v>
      </c>
      <c r="F26" s="125"/>
      <c r="G26" s="195"/>
    </row>
    <row r="27" spans="1:7" x14ac:dyDescent="0.3">
      <c r="A27" s="170"/>
      <c r="B27" s="72"/>
      <c r="C27" s="426"/>
      <c r="D27" s="125">
        <v>-88</v>
      </c>
      <c r="E27" s="100" t="s">
        <v>7</v>
      </c>
      <c r="F27" s="125"/>
      <c r="G27" s="195"/>
    </row>
    <row r="28" spans="1:7" x14ac:dyDescent="0.3">
      <c r="A28" s="171"/>
      <c r="B28" s="74"/>
      <c r="C28" s="427"/>
      <c r="D28" s="125">
        <v>-99</v>
      </c>
      <c r="E28" s="100" t="s">
        <v>6</v>
      </c>
      <c r="F28" s="125"/>
      <c r="G28" s="195"/>
    </row>
    <row r="29" spans="1:7" x14ac:dyDescent="0.3">
      <c r="A29" s="170" t="s">
        <v>215</v>
      </c>
      <c r="B29" s="72">
        <f>B25+1</f>
        <v>6</v>
      </c>
      <c r="C29" s="445" t="s">
        <v>557</v>
      </c>
      <c r="D29" s="1">
        <v>1</v>
      </c>
      <c r="E29" s="2" t="s">
        <v>4</v>
      </c>
      <c r="F29" s="68" t="s">
        <v>49</v>
      </c>
      <c r="G29" s="226" t="s">
        <v>50</v>
      </c>
    </row>
    <row r="30" spans="1:7" x14ac:dyDescent="0.3">
      <c r="A30" s="170"/>
      <c r="B30" s="72"/>
      <c r="C30" s="445"/>
      <c r="D30" s="3">
        <v>2</v>
      </c>
      <c r="E30" s="4" t="s">
        <v>5</v>
      </c>
      <c r="F30" s="125"/>
      <c r="G30" s="195"/>
    </row>
    <row r="31" spans="1:7" x14ac:dyDescent="0.3">
      <c r="A31" s="170"/>
      <c r="B31" s="72"/>
      <c r="C31" s="445"/>
      <c r="D31" s="125">
        <v>-88</v>
      </c>
      <c r="E31" s="100" t="s">
        <v>7</v>
      </c>
      <c r="F31" s="125"/>
      <c r="G31" s="195"/>
    </row>
    <row r="32" spans="1:7" x14ac:dyDescent="0.3">
      <c r="A32" s="171"/>
      <c r="B32" s="74"/>
      <c r="C32" s="446"/>
      <c r="D32" s="196">
        <v>-99</v>
      </c>
      <c r="E32" s="99" t="s">
        <v>6</v>
      </c>
      <c r="F32" s="196"/>
      <c r="G32" s="197"/>
    </row>
    <row r="33" spans="1:7" x14ac:dyDescent="0.3">
      <c r="A33" s="178" t="s">
        <v>215</v>
      </c>
      <c r="B33" s="67">
        <f>B29+1</f>
        <v>7</v>
      </c>
      <c r="C33" s="443" t="s">
        <v>558</v>
      </c>
      <c r="D33" s="1">
        <v>1</v>
      </c>
      <c r="E33" s="2" t="s">
        <v>4</v>
      </c>
      <c r="F33" s="68" t="s">
        <v>49</v>
      </c>
      <c r="G33" s="226" t="s">
        <v>50</v>
      </c>
    </row>
    <row r="34" spans="1:7" x14ac:dyDescent="0.3">
      <c r="A34" s="170"/>
      <c r="B34" s="72"/>
      <c r="C34" s="426"/>
      <c r="D34" s="3">
        <v>2</v>
      </c>
      <c r="E34" s="4" t="s">
        <v>5</v>
      </c>
      <c r="F34" s="125"/>
      <c r="G34" s="195"/>
    </row>
    <row r="35" spans="1:7" x14ac:dyDescent="0.3">
      <c r="A35" s="170"/>
      <c r="B35" s="72"/>
      <c r="C35" s="426"/>
      <c r="D35" s="125">
        <v>-88</v>
      </c>
      <c r="E35" s="100" t="s">
        <v>7</v>
      </c>
      <c r="F35" s="125"/>
      <c r="G35" s="195"/>
    </row>
    <row r="36" spans="1:7" ht="21" customHeight="1" x14ac:dyDescent="0.3">
      <c r="A36" s="170"/>
      <c r="B36" s="72"/>
      <c r="C36" s="426"/>
      <c r="D36" s="125">
        <v>-99</v>
      </c>
      <c r="E36" s="100" t="s">
        <v>6</v>
      </c>
      <c r="F36" s="125"/>
      <c r="G36" s="195"/>
    </row>
    <row r="37" spans="1:7" ht="15" customHeight="1" x14ac:dyDescent="0.3">
      <c r="A37" s="178" t="s">
        <v>215</v>
      </c>
      <c r="B37" s="67">
        <f>B33+1</f>
        <v>8</v>
      </c>
      <c r="C37" s="443" t="s">
        <v>559</v>
      </c>
      <c r="D37" s="1">
        <v>1</v>
      </c>
      <c r="E37" s="2" t="s">
        <v>4</v>
      </c>
      <c r="F37" s="68" t="s">
        <v>49</v>
      </c>
      <c r="G37" s="226" t="s">
        <v>50</v>
      </c>
    </row>
    <row r="38" spans="1:7" x14ac:dyDescent="0.3">
      <c r="A38" s="170"/>
      <c r="B38" s="72"/>
      <c r="C38" s="426"/>
      <c r="D38" s="3">
        <v>2</v>
      </c>
      <c r="E38" s="4" t="s">
        <v>5</v>
      </c>
      <c r="F38" s="125"/>
      <c r="G38" s="195"/>
    </row>
    <row r="39" spans="1:7" x14ac:dyDescent="0.3">
      <c r="A39" s="170"/>
      <c r="B39" s="72"/>
      <c r="C39" s="426"/>
      <c r="D39" s="125">
        <v>-88</v>
      </c>
      <c r="E39" s="100" t="s">
        <v>7</v>
      </c>
      <c r="F39" s="125"/>
      <c r="G39" s="195"/>
    </row>
    <row r="40" spans="1:7" x14ac:dyDescent="0.3">
      <c r="A40" s="171"/>
      <c r="B40" s="74"/>
      <c r="C40" s="427"/>
      <c r="D40" s="196">
        <v>-99</v>
      </c>
      <c r="E40" s="99" t="s">
        <v>6</v>
      </c>
      <c r="F40" s="196"/>
      <c r="G40" s="197"/>
    </row>
    <row r="41" spans="1:7" ht="15" customHeight="1" x14ac:dyDescent="0.3">
      <c r="A41" s="170" t="s">
        <v>215</v>
      </c>
      <c r="B41" s="72">
        <f>B37+1</f>
        <v>9</v>
      </c>
      <c r="C41" s="447" t="s">
        <v>560</v>
      </c>
      <c r="D41" s="3">
        <v>1</v>
      </c>
      <c r="E41" s="4" t="s">
        <v>4</v>
      </c>
      <c r="F41" s="227" t="s">
        <v>49</v>
      </c>
      <c r="G41" s="228" t="s">
        <v>50</v>
      </c>
    </row>
    <row r="42" spans="1:7" x14ac:dyDescent="0.3">
      <c r="A42" s="170"/>
      <c r="B42" s="72"/>
      <c r="C42" s="447"/>
      <c r="D42" s="3">
        <v>2</v>
      </c>
      <c r="E42" s="4" t="s">
        <v>5</v>
      </c>
      <c r="F42" s="125"/>
      <c r="G42" s="195"/>
    </row>
    <row r="43" spans="1:7" x14ac:dyDescent="0.3">
      <c r="A43" s="170"/>
      <c r="B43" s="72"/>
      <c r="C43" s="447"/>
      <c r="D43" s="125">
        <v>-88</v>
      </c>
      <c r="E43" s="100" t="s">
        <v>7</v>
      </c>
      <c r="F43" s="125"/>
      <c r="G43" s="195"/>
    </row>
    <row r="44" spans="1:7" x14ac:dyDescent="0.3">
      <c r="A44" s="171"/>
      <c r="B44" s="74"/>
      <c r="C44" s="448"/>
      <c r="D44" s="196">
        <v>-99</v>
      </c>
      <c r="E44" s="99" t="s">
        <v>6</v>
      </c>
      <c r="F44" s="196"/>
      <c r="G44" s="197"/>
    </row>
    <row r="45" spans="1:7" ht="15" customHeight="1" x14ac:dyDescent="0.3">
      <c r="A45" s="178" t="s">
        <v>215</v>
      </c>
      <c r="B45" s="67">
        <f>B41+1</f>
        <v>10</v>
      </c>
      <c r="C45" s="443" t="s">
        <v>561</v>
      </c>
      <c r="D45" s="1">
        <v>1</v>
      </c>
      <c r="E45" s="2" t="s">
        <v>4</v>
      </c>
      <c r="F45" s="68" t="s">
        <v>49</v>
      </c>
      <c r="G45" s="226" t="s">
        <v>50</v>
      </c>
    </row>
    <row r="46" spans="1:7" x14ac:dyDescent="0.3">
      <c r="A46" s="170"/>
      <c r="B46" s="72"/>
      <c r="C46" s="426"/>
      <c r="D46" s="3">
        <v>2</v>
      </c>
      <c r="E46" s="4" t="s">
        <v>5</v>
      </c>
      <c r="F46" s="125"/>
      <c r="G46" s="195"/>
    </row>
    <row r="47" spans="1:7" x14ac:dyDescent="0.3">
      <c r="A47" s="170"/>
      <c r="B47" s="72"/>
      <c r="C47" s="426"/>
      <c r="D47" s="125">
        <v>-88</v>
      </c>
      <c r="E47" s="100" t="s">
        <v>7</v>
      </c>
      <c r="F47" s="125"/>
      <c r="G47" s="195"/>
    </row>
    <row r="48" spans="1:7" ht="26.25" customHeight="1" x14ac:dyDescent="0.3">
      <c r="A48" s="170"/>
      <c r="B48" s="72"/>
      <c r="C48" s="426"/>
      <c r="D48" s="172">
        <v>-99</v>
      </c>
      <c r="E48" s="13" t="s">
        <v>6</v>
      </c>
      <c r="F48" s="125"/>
      <c r="G48" s="195"/>
    </row>
    <row r="49" spans="1:7" ht="15" customHeight="1" x14ac:dyDescent="0.3">
      <c r="A49" s="178" t="s">
        <v>215</v>
      </c>
      <c r="B49" s="67">
        <f>B45+1</f>
        <v>11</v>
      </c>
      <c r="C49" s="425" t="s">
        <v>562</v>
      </c>
      <c r="D49" s="1">
        <v>1</v>
      </c>
      <c r="E49" s="2" t="s">
        <v>4</v>
      </c>
      <c r="F49" s="68" t="s">
        <v>49</v>
      </c>
      <c r="G49" s="226" t="s">
        <v>50</v>
      </c>
    </row>
    <row r="50" spans="1:7" x14ac:dyDescent="0.3">
      <c r="A50" s="170"/>
      <c r="B50" s="72"/>
      <c r="C50" s="426"/>
      <c r="D50" s="3">
        <v>2</v>
      </c>
      <c r="E50" s="4" t="s">
        <v>5</v>
      </c>
      <c r="F50" s="125"/>
      <c r="G50" s="195"/>
    </row>
    <row r="51" spans="1:7" x14ac:dyDescent="0.3">
      <c r="A51" s="170"/>
      <c r="B51" s="72"/>
      <c r="C51" s="426"/>
      <c r="D51" s="125">
        <v>-88</v>
      </c>
      <c r="E51" s="100" t="s">
        <v>7</v>
      </c>
      <c r="F51" s="125"/>
      <c r="G51" s="195"/>
    </row>
    <row r="52" spans="1:7" x14ac:dyDescent="0.3">
      <c r="A52" s="171"/>
      <c r="B52" s="74"/>
      <c r="C52" s="427"/>
      <c r="D52" s="196">
        <v>-99</v>
      </c>
      <c r="E52" s="99" t="s">
        <v>6</v>
      </c>
      <c r="F52" s="196"/>
      <c r="G52" s="197"/>
    </row>
    <row r="53" spans="1:7" x14ac:dyDescent="0.3">
      <c r="A53" s="178" t="s">
        <v>215</v>
      </c>
      <c r="B53" s="67">
        <f>B49+1</f>
        <v>12</v>
      </c>
      <c r="C53" s="425" t="s">
        <v>510</v>
      </c>
      <c r="D53" s="1">
        <v>1</v>
      </c>
      <c r="E53" s="2" t="s">
        <v>4</v>
      </c>
      <c r="F53" s="68" t="s">
        <v>49</v>
      </c>
      <c r="G53" s="226" t="s">
        <v>50</v>
      </c>
    </row>
    <row r="54" spans="1:7" x14ac:dyDescent="0.3">
      <c r="A54" s="170"/>
      <c r="B54" s="72"/>
      <c r="C54" s="426"/>
      <c r="D54" s="3">
        <v>2</v>
      </c>
      <c r="E54" s="4" t="s">
        <v>5</v>
      </c>
      <c r="F54" s="125"/>
      <c r="G54" s="195"/>
    </row>
    <row r="55" spans="1:7" x14ac:dyDescent="0.3">
      <c r="A55" s="170"/>
      <c r="B55" s="72"/>
      <c r="C55" s="426"/>
      <c r="D55" s="125">
        <v>-88</v>
      </c>
      <c r="E55" s="100" t="s">
        <v>7</v>
      </c>
      <c r="F55" s="125"/>
      <c r="G55" s="195"/>
    </row>
    <row r="56" spans="1:7" x14ac:dyDescent="0.3">
      <c r="A56" s="171"/>
      <c r="B56" s="74"/>
      <c r="C56" s="427"/>
      <c r="D56" s="196">
        <v>-99</v>
      </c>
      <c r="E56" s="99" t="s">
        <v>6</v>
      </c>
      <c r="F56" s="196"/>
      <c r="G56" s="197"/>
    </row>
    <row r="57" spans="1:7" ht="9" customHeight="1" x14ac:dyDescent="0.3"/>
    <row r="58" spans="1:7" ht="57" customHeight="1" x14ac:dyDescent="0.3">
      <c r="A58" s="429" t="s">
        <v>761</v>
      </c>
      <c r="B58" s="429"/>
      <c r="C58" s="429"/>
      <c r="D58" s="429"/>
      <c r="E58" s="429"/>
      <c r="F58" s="429"/>
      <c r="G58" s="429"/>
    </row>
    <row r="59" spans="1:7" ht="39.75" customHeight="1" x14ac:dyDescent="0.3">
      <c r="A59" s="429" t="s">
        <v>289</v>
      </c>
      <c r="B59" s="429"/>
      <c r="C59" s="429"/>
      <c r="D59" s="429"/>
      <c r="E59" s="429"/>
      <c r="F59" s="429"/>
      <c r="G59" s="429"/>
    </row>
    <row r="60" spans="1:7" ht="10.5" customHeight="1" x14ac:dyDescent="0.3"/>
    <row r="61" spans="1:7" x14ac:dyDescent="0.3">
      <c r="A61" s="422" t="s">
        <v>0</v>
      </c>
      <c r="B61" s="423"/>
      <c r="C61" s="140" t="s">
        <v>1</v>
      </c>
      <c r="D61" s="422" t="s">
        <v>2</v>
      </c>
      <c r="E61" s="424"/>
      <c r="F61" s="428"/>
      <c r="G61" s="428"/>
    </row>
    <row r="62" spans="1:7" ht="39.75" customHeight="1" x14ac:dyDescent="0.3">
      <c r="A62" s="186"/>
      <c r="B62" s="136"/>
      <c r="C62" s="139" t="s">
        <v>534</v>
      </c>
      <c r="D62" s="138"/>
      <c r="E62" s="137"/>
      <c r="F62" s="460" t="s">
        <v>256</v>
      </c>
      <c r="G62" s="461"/>
    </row>
    <row r="63" spans="1:7" x14ac:dyDescent="0.3">
      <c r="A63" s="127" t="s">
        <v>215</v>
      </c>
      <c r="B63" s="157">
        <v>13</v>
      </c>
      <c r="C63" s="449" t="s">
        <v>304</v>
      </c>
      <c r="D63" s="1">
        <v>1</v>
      </c>
      <c r="E63" s="2" t="s">
        <v>4</v>
      </c>
      <c r="F63" s="452" t="s">
        <v>51</v>
      </c>
      <c r="G63" s="453"/>
    </row>
    <row r="64" spans="1:7" x14ac:dyDescent="0.3">
      <c r="A64" s="36"/>
      <c r="B64" s="158"/>
      <c r="C64" s="450"/>
      <c r="D64" s="3">
        <v>2</v>
      </c>
      <c r="E64" s="4" t="s">
        <v>5</v>
      </c>
      <c r="F64" s="454"/>
      <c r="G64" s="455"/>
    </row>
    <row r="65" spans="1:7" x14ac:dyDescent="0.3">
      <c r="A65" s="36"/>
      <c r="B65" s="158"/>
      <c r="C65" s="450"/>
      <c r="D65" s="44">
        <v>-88</v>
      </c>
      <c r="E65" s="5" t="s">
        <v>7</v>
      </c>
      <c r="F65" s="454"/>
      <c r="G65" s="455"/>
    </row>
    <row r="66" spans="1:7" x14ac:dyDescent="0.3">
      <c r="A66" s="36"/>
      <c r="B66" s="158"/>
      <c r="C66" s="450"/>
      <c r="D66" s="44">
        <v>-99</v>
      </c>
      <c r="E66" s="5" t="s">
        <v>6</v>
      </c>
      <c r="F66" s="454"/>
      <c r="G66" s="455"/>
    </row>
    <row r="67" spans="1:7" x14ac:dyDescent="0.3">
      <c r="A67" s="127" t="s">
        <v>215</v>
      </c>
      <c r="B67" s="157">
        <v>14</v>
      </c>
      <c r="C67" s="449" t="s">
        <v>257</v>
      </c>
      <c r="D67" s="1">
        <v>1</v>
      </c>
      <c r="E67" s="2" t="s">
        <v>4</v>
      </c>
      <c r="F67" s="452" t="s">
        <v>51</v>
      </c>
      <c r="G67" s="453"/>
    </row>
    <row r="68" spans="1:7" x14ac:dyDescent="0.3">
      <c r="A68" s="36"/>
      <c r="B68" s="158"/>
      <c r="C68" s="450"/>
      <c r="D68" s="3">
        <v>2</v>
      </c>
      <c r="E68" s="4" t="s">
        <v>5</v>
      </c>
      <c r="F68" s="454"/>
      <c r="G68" s="455"/>
    </row>
    <row r="69" spans="1:7" x14ac:dyDescent="0.3">
      <c r="A69" s="36"/>
      <c r="B69" s="158"/>
      <c r="C69" s="450"/>
      <c r="D69" s="44">
        <v>-88</v>
      </c>
      <c r="E69" s="5" t="s">
        <v>7</v>
      </c>
      <c r="F69" s="454"/>
      <c r="G69" s="455"/>
    </row>
    <row r="70" spans="1:7" x14ac:dyDescent="0.3">
      <c r="A70" s="36"/>
      <c r="B70" s="158"/>
      <c r="C70" s="450"/>
      <c r="D70" s="44">
        <v>-99</v>
      </c>
      <c r="E70" s="5" t="s">
        <v>6</v>
      </c>
      <c r="F70" s="454"/>
      <c r="G70" s="455"/>
    </row>
    <row r="71" spans="1:7" x14ac:dyDescent="0.3">
      <c r="A71" s="127" t="s">
        <v>215</v>
      </c>
      <c r="B71" s="157">
        <v>15</v>
      </c>
      <c r="C71" s="449" t="s">
        <v>305</v>
      </c>
      <c r="D71" s="1">
        <v>1</v>
      </c>
      <c r="E71" s="2" t="s">
        <v>4</v>
      </c>
      <c r="F71" s="452" t="s">
        <v>51</v>
      </c>
      <c r="G71" s="453"/>
    </row>
    <row r="72" spans="1:7" x14ac:dyDescent="0.3">
      <c r="A72" s="36"/>
      <c r="B72" s="158"/>
      <c r="C72" s="450"/>
      <c r="D72" s="3">
        <v>2</v>
      </c>
      <c r="E72" s="4" t="s">
        <v>5</v>
      </c>
      <c r="F72" s="454"/>
      <c r="G72" s="455"/>
    </row>
    <row r="73" spans="1:7" x14ac:dyDescent="0.3">
      <c r="A73" s="36"/>
      <c r="B73" s="158"/>
      <c r="C73" s="450"/>
      <c r="D73" s="44">
        <v>-88</v>
      </c>
      <c r="E73" s="5" t="s">
        <v>7</v>
      </c>
      <c r="F73" s="454"/>
      <c r="G73" s="455"/>
    </row>
    <row r="74" spans="1:7" x14ac:dyDescent="0.3">
      <c r="A74" s="36"/>
      <c r="B74" s="158"/>
      <c r="C74" s="450"/>
      <c r="D74" s="44">
        <v>-99</v>
      </c>
      <c r="E74" s="5" t="s">
        <v>6</v>
      </c>
      <c r="F74" s="454"/>
      <c r="G74" s="455"/>
    </row>
    <row r="75" spans="1:7" x14ac:dyDescent="0.3">
      <c r="A75" s="127" t="s">
        <v>215</v>
      </c>
      <c r="B75" s="157">
        <v>16</v>
      </c>
      <c r="C75" s="449" t="s">
        <v>429</v>
      </c>
      <c r="D75" s="1">
        <v>1</v>
      </c>
      <c r="E75" s="2" t="s">
        <v>4</v>
      </c>
      <c r="F75" s="452" t="s">
        <v>51</v>
      </c>
      <c r="G75" s="453"/>
    </row>
    <row r="76" spans="1:7" x14ac:dyDescent="0.3">
      <c r="A76" s="36"/>
      <c r="B76" s="158"/>
      <c r="C76" s="450"/>
      <c r="D76" s="3">
        <v>2</v>
      </c>
      <c r="E76" s="4" t="s">
        <v>5</v>
      </c>
      <c r="F76" s="454"/>
      <c r="G76" s="455"/>
    </row>
    <row r="77" spans="1:7" x14ac:dyDescent="0.3">
      <c r="A77" s="36"/>
      <c r="B77" s="158"/>
      <c r="C77" s="450"/>
      <c r="D77" s="44">
        <v>-88</v>
      </c>
      <c r="E77" s="5" t="s">
        <v>7</v>
      </c>
      <c r="F77" s="454"/>
      <c r="G77" s="455"/>
    </row>
    <row r="78" spans="1:7" x14ac:dyDescent="0.3">
      <c r="A78" s="36"/>
      <c r="B78" s="158"/>
      <c r="C78" s="450"/>
      <c r="D78" s="44">
        <v>-99</v>
      </c>
      <c r="E78" s="5" t="s">
        <v>6</v>
      </c>
      <c r="F78" s="454"/>
      <c r="G78" s="455"/>
    </row>
    <row r="79" spans="1:7" x14ac:dyDescent="0.3">
      <c r="A79" s="127" t="s">
        <v>215</v>
      </c>
      <c r="B79" s="157">
        <v>17</v>
      </c>
      <c r="C79" s="449" t="s">
        <v>297</v>
      </c>
      <c r="D79" s="1">
        <v>1</v>
      </c>
      <c r="E79" s="2" t="s">
        <v>4</v>
      </c>
      <c r="F79" s="452" t="s">
        <v>51</v>
      </c>
      <c r="G79" s="453"/>
    </row>
    <row r="80" spans="1:7" x14ac:dyDescent="0.3">
      <c r="A80" s="36"/>
      <c r="B80" s="158"/>
      <c r="C80" s="450"/>
      <c r="D80" s="3">
        <v>2</v>
      </c>
      <c r="E80" s="4" t="s">
        <v>5</v>
      </c>
      <c r="F80" s="454"/>
      <c r="G80" s="455"/>
    </row>
    <row r="81" spans="1:7" x14ac:dyDescent="0.3">
      <c r="A81" s="36"/>
      <c r="B81" s="158"/>
      <c r="C81" s="450"/>
      <c r="D81" s="44">
        <v>-88</v>
      </c>
      <c r="E81" s="5" t="s">
        <v>7</v>
      </c>
      <c r="F81" s="454"/>
      <c r="G81" s="455"/>
    </row>
    <row r="82" spans="1:7" x14ac:dyDescent="0.3">
      <c r="A82" s="36"/>
      <c r="B82" s="158"/>
      <c r="C82" s="450"/>
      <c r="D82" s="44">
        <v>-99</v>
      </c>
      <c r="E82" s="5" t="s">
        <v>6</v>
      </c>
      <c r="F82" s="454"/>
      <c r="G82" s="455"/>
    </row>
    <row r="83" spans="1:7" x14ac:dyDescent="0.3">
      <c r="A83" s="127" t="s">
        <v>215</v>
      </c>
      <c r="B83" s="157">
        <v>18</v>
      </c>
      <c r="C83" s="449" t="s">
        <v>258</v>
      </c>
      <c r="D83" s="1">
        <v>1</v>
      </c>
      <c r="E83" s="2" t="s">
        <v>4</v>
      </c>
      <c r="F83" s="452" t="s">
        <v>51</v>
      </c>
      <c r="G83" s="456"/>
    </row>
    <row r="84" spans="1:7" x14ac:dyDescent="0.3">
      <c r="A84" s="36"/>
      <c r="B84" s="158"/>
      <c r="C84" s="450"/>
      <c r="D84" s="3">
        <v>2</v>
      </c>
      <c r="E84" s="4" t="s">
        <v>5</v>
      </c>
      <c r="F84" s="454"/>
      <c r="G84" s="457"/>
    </row>
    <row r="85" spans="1:7" x14ac:dyDescent="0.3">
      <c r="A85" s="36"/>
      <c r="B85" s="158"/>
      <c r="C85" s="450"/>
      <c r="D85" s="44">
        <v>-88</v>
      </c>
      <c r="E85" s="5" t="s">
        <v>7</v>
      </c>
      <c r="F85" s="454"/>
      <c r="G85" s="457"/>
    </row>
    <row r="86" spans="1:7" x14ac:dyDescent="0.3">
      <c r="A86" s="37"/>
      <c r="B86" s="159"/>
      <c r="C86" s="451"/>
      <c r="D86" s="45">
        <v>-99</v>
      </c>
      <c r="E86" s="6" t="s">
        <v>6</v>
      </c>
      <c r="F86" s="458"/>
      <c r="G86" s="459"/>
    </row>
    <row r="87" spans="1:7" x14ac:dyDescent="0.3">
      <c r="A87" s="5"/>
      <c r="B87" s="5"/>
    </row>
    <row r="88" spans="1:7" x14ac:dyDescent="0.3">
      <c r="A88" s="5"/>
      <c r="B88" s="5"/>
    </row>
    <row r="89" spans="1:7" x14ac:dyDescent="0.3">
      <c r="D89" s="46"/>
    </row>
  </sheetData>
  <mergeCells count="36">
    <mergeCell ref="F75:G78"/>
    <mergeCell ref="F79:G82"/>
    <mergeCell ref="F83:G86"/>
    <mergeCell ref="F63:G66"/>
    <mergeCell ref="F62:G62"/>
    <mergeCell ref="F67:G70"/>
    <mergeCell ref="F71:G74"/>
    <mergeCell ref="C45:C48"/>
    <mergeCell ref="C49:C52"/>
    <mergeCell ref="C83:C86"/>
    <mergeCell ref="C63:C66"/>
    <mergeCell ref="C67:C70"/>
    <mergeCell ref="C71:C74"/>
    <mergeCell ref="C75:C78"/>
    <mergeCell ref="C79:C82"/>
    <mergeCell ref="C25:C28"/>
    <mergeCell ref="C29:C32"/>
    <mergeCell ref="C33:C36"/>
    <mergeCell ref="C37:C40"/>
    <mergeCell ref="C41:C44"/>
    <mergeCell ref="C9:C12"/>
    <mergeCell ref="C7:G7"/>
    <mergeCell ref="C13:C16"/>
    <mergeCell ref="C17:C20"/>
    <mergeCell ref="C21:C24"/>
    <mergeCell ref="A1:G2"/>
    <mergeCell ref="A5:G6"/>
    <mergeCell ref="A7:B7"/>
    <mergeCell ref="A3:G3"/>
    <mergeCell ref="F8:G8"/>
    <mergeCell ref="A61:B61"/>
    <mergeCell ref="D61:E61"/>
    <mergeCell ref="C53:C56"/>
    <mergeCell ref="F61:G61"/>
    <mergeCell ref="A58:G58"/>
    <mergeCell ref="A59:G59"/>
  </mergeCells>
  <pageMargins left="0.7" right="0.7" top="0.5" bottom="0.5" header="0.3" footer="0.3"/>
  <pageSetup scale="96" orientation="portrait" r:id="rId1"/>
  <headerFooter>
    <oddHeader xml:space="preserve">&amp;C&amp;"Times New Roman,Bold"&amp;13&amp;UC. Expenditure  (food) &amp;"-,Regular"&amp;11&amp;U
&amp;O
</oddHeader>
  </headerFooter>
  <rowBreaks count="1" manualBreakCount="1">
    <brk id="3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6"/>
  <sheetViews>
    <sheetView view="pageLayout" topLeftCell="A159" zoomScaleNormal="100" workbookViewId="0">
      <selection activeCell="C159" sqref="C159:C160"/>
    </sheetView>
  </sheetViews>
  <sheetFormatPr defaultColWidth="9.1796875" defaultRowHeight="14.5" x14ac:dyDescent="0.35"/>
  <cols>
    <col min="1" max="1" width="2.54296875" style="246" bestFit="1" customWidth="1"/>
    <col min="2" max="2" width="3" style="247" bestFit="1" customWidth="1"/>
    <col min="3" max="3" width="42.7265625" style="210" customWidth="1"/>
    <col min="4" max="4" width="4.7265625" style="248" customWidth="1"/>
    <col min="5" max="5" width="10.81640625" style="210" customWidth="1"/>
    <col min="6" max="6" width="18.7265625" style="210" customWidth="1"/>
    <col min="7" max="7" width="3.54296875" style="210" customWidth="1"/>
    <col min="8" max="8" width="4.1796875" style="210" customWidth="1"/>
    <col min="9" max="9" width="13.54296875" style="210" hidden="1" customWidth="1"/>
    <col min="10" max="10" width="28.54296875" style="210" customWidth="1"/>
    <col min="11" max="11" width="36.1796875" style="210" bestFit="1" customWidth="1"/>
    <col min="12" max="12" width="18.26953125" style="210" customWidth="1"/>
    <col min="13" max="16384" width="9.1796875" style="210"/>
  </cols>
  <sheetData>
    <row r="1" spans="1:14" ht="57.75" customHeight="1" x14ac:dyDescent="0.35">
      <c r="A1" s="374" t="s">
        <v>800</v>
      </c>
      <c r="B1" s="462"/>
      <c r="C1" s="462"/>
      <c r="D1" s="462"/>
      <c r="E1" s="462"/>
      <c r="F1" s="375"/>
      <c r="G1" s="276"/>
      <c r="H1" s="276"/>
      <c r="J1" s="229"/>
      <c r="K1" s="229"/>
      <c r="L1" s="229"/>
      <c r="M1" s="229"/>
      <c r="N1" s="229"/>
    </row>
    <row r="2" spans="1:14" ht="42" customHeight="1" thickBot="1" x14ac:dyDescent="0.4">
      <c r="A2" s="438" t="s">
        <v>0</v>
      </c>
      <c r="B2" s="439"/>
      <c r="C2" s="281" t="s">
        <v>1</v>
      </c>
      <c r="D2" s="438" t="s">
        <v>2</v>
      </c>
      <c r="E2" s="444"/>
      <c r="F2" s="439"/>
      <c r="G2" s="463" t="s">
        <v>195</v>
      </c>
      <c r="H2" s="428"/>
      <c r="I2" s="210" t="s">
        <v>342</v>
      </c>
      <c r="J2" s="229"/>
      <c r="K2" s="229"/>
      <c r="L2" s="229"/>
      <c r="M2" s="229"/>
      <c r="N2" s="229"/>
    </row>
    <row r="3" spans="1:14" ht="45.75" customHeight="1" x14ac:dyDescent="0.35">
      <c r="A3" s="230"/>
      <c r="B3" s="231"/>
      <c r="C3" s="232" t="s">
        <v>480</v>
      </c>
      <c r="D3" s="464"/>
      <c r="E3" s="465"/>
      <c r="F3" s="233" t="s">
        <v>502</v>
      </c>
      <c r="H3" s="229"/>
      <c r="J3" s="229"/>
      <c r="K3" s="229"/>
      <c r="L3" s="229"/>
      <c r="M3" s="229"/>
      <c r="N3" s="229"/>
    </row>
    <row r="4" spans="1:14" x14ac:dyDescent="0.35">
      <c r="A4" s="191" t="s">
        <v>216</v>
      </c>
      <c r="B4" s="144">
        <v>1</v>
      </c>
      <c r="C4" s="380" t="s">
        <v>529</v>
      </c>
      <c r="D4" s="33">
        <v>1</v>
      </c>
      <c r="E4" s="10" t="s">
        <v>4</v>
      </c>
      <c r="F4" s="466" t="s">
        <v>110</v>
      </c>
      <c r="G4" s="234"/>
      <c r="H4" s="229"/>
      <c r="I4" s="210" t="s">
        <v>438</v>
      </c>
      <c r="J4" s="229"/>
      <c r="K4" s="229"/>
      <c r="L4" s="229"/>
      <c r="M4" s="229"/>
      <c r="N4" s="229"/>
    </row>
    <row r="5" spans="1:14" x14ac:dyDescent="0.35">
      <c r="A5" s="192"/>
      <c r="B5" s="23"/>
      <c r="C5" s="362"/>
      <c r="D5" s="63">
        <v>2</v>
      </c>
      <c r="E5" s="11" t="s">
        <v>5</v>
      </c>
      <c r="F5" s="467"/>
      <c r="G5" s="234"/>
      <c r="H5" s="229"/>
      <c r="I5" s="210" t="s">
        <v>439</v>
      </c>
      <c r="J5" s="229"/>
      <c r="K5" s="229"/>
      <c r="L5" s="229"/>
      <c r="M5" s="229"/>
      <c r="N5" s="229"/>
    </row>
    <row r="6" spans="1:14" ht="16.5" customHeight="1" x14ac:dyDescent="0.35">
      <c r="A6" s="192"/>
      <c r="B6" s="23"/>
      <c r="C6" s="362"/>
      <c r="D6" s="125">
        <v>-88</v>
      </c>
      <c r="E6" s="195" t="s">
        <v>7</v>
      </c>
      <c r="F6" s="467"/>
      <c r="G6" s="234"/>
      <c r="H6" s="229"/>
      <c r="J6" s="229"/>
      <c r="K6" s="229"/>
      <c r="L6" s="229"/>
      <c r="M6" s="229"/>
      <c r="N6" s="229"/>
    </row>
    <row r="7" spans="1:14" ht="16.5" customHeight="1" x14ac:dyDescent="0.35">
      <c r="A7" s="192"/>
      <c r="B7" s="23"/>
      <c r="C7" s="274"/>
      <c r="D7" s="196">
        <v>-99</v>
      </c>
      <c r="E7" s="197" t="s">
        <v>6</v>
      </c>
      <c r="F7" s="467"/>
      <c r="G7" s="234"/>
      <c r="H7" s="229"/>
      <c r="J7" s="229"/>
      <c r="K7" s="229"/>
      <c r="L7" s="229"/>
      <c r="M7" s="229"/>
      <c r="N7" s="229"/>
    </row>
    <row r="8" spans="1:14" x14ac:dyDescent="0.35">
      <c r="A8" s="191" t="s">
        <v>216</v>
      </c>
      <c r="B8" s="144">
        <f>B4+1</f>
        <v>2</v>
      </c>
      <c r="C8" s="380" t="s">
        <v>298</v>
      </c>
      <c r="D8" s="33">
        <v>1</v>
      </c>
      <c r="E8" s="10" t="s">
        <v>4</v>
      </c>
      <c r="F8" s="466" t="s">
        <v>110</v>
      </c>
      <c r="G8" s="234"/>
      <c r="H8" s="229"/>
      <c r="I8" s="210" t="s">
        <v>440</v>
      </c>
      <c r="J8" s="229"/>
      <c r="K8" s="229"/>
      <c r="L8" s="229"/>
      <c r="M8" s="229"/>
      <c r="N8" s="229"/>
    </row>
    <row r="9" spans="1:14" x14ac:dyDescent="0.35">
      <c r="A9" s="192"/>
      <c r="B9" s="23"/>
      <c r="C9" s="362"/>
      <c r="D9" s="63">
        <v>2</v>
      </c>
      <c r="E9" s="11" t="s">
        <v>5</v>
      </c>
      <c r="F9" s="467"/>
      <c r="G9" s="234"/>
      <c r="H9" s="229"/>
      <c r="I9" s="210" t="s">
        <v>441</v>
      </c>
      <c r="J9" s="229"/>
      <c r="K9" s="229"/>
      <c r="L9" s="229"/>
      <c r="M9" s="229"/>
      <c r="N9" s="229"/>
    </row>
    <row r="10" spans="1:14" ht="16.5" customHeight="1" x14ac:dyDescent="0.35">
      <c r="A10" s="192"/>
      <c r="B10" s="23"/>
      <c r="C10" s="362"/>
      <c r="D10" s="125">
        <v>-88</v>
      </c>
      <c r="E10" s="195" t="s">
        <v>7</v>
      </c>
      <c r="F10" s="467"/>
      <c r="G10" s="234"/>
      <c r="H10" s="229"/>
      <c r="J10" s="229"/>
      <c r="K10" s="229"/>
      <c r="L10" s="229"/>
      <c r="M10" s="229"/>
      <c r="N10" s="229"/>
    </row>
    <row r="11" spans="1:14" ht="16.5" customHeight="1" x14ac:dyDescent="0.35">
      <c r="A11" s="192"/>
      <c r="B11" s="23"/>
      <c r="C11" s="274"/>
      <c r="D11" s="196">
        <v>-99</v>
      </c>
      <c r="E11" s="197" t="s">
        <v>6</v>
      </c>
      <c r="F11" s="467"/>
      <c r="G11" s="234"/>
      <c r="H11" s="229"/>
      <c r="J11" s="229"/>
      <c r="K11" s="229"/>
      <c r="L11" s="229"/>
      <c r="M11" s="229"/>
      <c r="N11" s="229"/>
    </row>
    <row r="12" spans="1:14" x14ac:dyDescent="0.35">
      <c r="A12" s="191" t="s">
        <v>216</v>
      </c>
      <c r="B12" s="144">
        <f>B8+1</f>
        <v>3</v>
      </c>
      <c r="C12" s="380" t="s">
        <v>299</v>
      </c>
      <c r="D12" s="33">
        <v>1</v>
      </c>
      <c r="E12" s="10" t="s">
        <v>4</v>
      </c>
      <c r="F12" s="466" t="s">
        <v>110</v>
      </c>
      <c r="G12" s="234"/>
      <c r="H12" s="229"/>
      <c r="I12" s="210" t="s">
        <v>442</v>
      </c>
      <c r="J12" s="229"/>
      <c r="K12" s="229"/>
      <c r="L12" s="229"/>
      <c r="M12" s="229"/>
      <c r="N12" s="229"/>
    </row>
    <row r="13" spans="1:14" x14ac:dyDescent="0.35">
      <c r="A13" s="192"/>
      <c r="B13" s="23"/>
      <c r="C13" s="362"/>
      <c r="D13" s="63">
        <v>2</v>
      </c>
      <c r="E13" s="11" t="s">
        <v>5</v>
      </c>
      <c r="F13" s="467"/>
      <c r="G13" s="234"/>
      <c r="H13" s="229"/>
      <c r="I13" s="210" t="s">
        <v>443</v>
      </c>
      <c r="J13" s="229"/>
      <c r="K13" s="229"/>
      <c r="L13" s="229"/>
      <c r="M13" s="229"/>
      <c r="N13" s="229"/>
    </row>
    <row r="14" spans="1:14" x14ac:dyDescent="0.35">
      <c r="A14" s="192"/>
      <c r="B14" s="23"/>
      <c r="C14" s="362"/>
      <c r="D14" s="125">
        <v>-88</v>
      </c>
      <c r="E14" s="195" t="s">
        <v>7</v>
      </c>
      <c r="F14" s="467"/>
      <c r="G14" s="234"/>
      <c r="H14" s="229"/>
      <c r="J14" s="229"/>
      <c r="K14" s="229"/>
      <c r="L14" s="229"/>
      <c r="M14" s="229"/>
      <c r="N14" s="229"/>
    </row>
    <row r="15" spans="1:14" x14ac:dyDescent="0.35">
      <c r="A15" s="235"/>
      <c r="B15" s="145"/>
      <c r="C15" s="275"/>
      <c r="D15" s="196">
        <v>-99</v>
      </c>
      <c r="E15" s="197" t="s">
        <v>6</v>
      </c>
      <c r="F15" s="470"/>
      <c r="G15" s="234"/>
      <c r="H15" s="229"/>
      <c r="J15" s="229"/>
      <c r="K15" s="229"/>
      <c r="L15" s="229"/>
      <c r="M15" s="229"/>
      <c r="N15" s="229"/>
    </row>
    <row r="16" spans="1:14" ht="15" customHeight="1" x14ac:dyDescent="0.35">
      <c r="A16" s="236"/>
      <c r="B16" s="32"/>
      <c r="C16" s="32"/>
      <c r="D16" s="125"/>
      <c r="E16" s="100"/>
      <c r="F16" s="284"/>
    </row>
    <row r="17" spans="1:14" ht="36.75" customHeight="1" thickBot="1" x14ac:dyDescent="0.4">
      <c r="A17" s="471" t="s">
        <v>526</v>
      </c>
      <c r="B17" s="471"/>
      <c r="C17" s="471"/>
      <c r="D17" s="471"/>
      <c r="E17" s="471"/>
      <c r="F17" s="471"/>
    </row>
    <row r="18" spans="1:14" ht="40.5" customHeight="1" thickBot="1" x14ac:dyDescent="0.4">
      <c r="A18" s="237"/>
      <c r="B18" s="238"/>
      <c r="C18" s="472" t="s">
        <v>527</v>
      </c>
      <c r="D18" s="473"/>
      <c r="E18" s="474"/>
      <c r="F18" s="239" t="s">
        <v>223</v>
      </c>
      <c r="G18" s="463" t="s">
        <v>195</v>
      </c>
      <c r="H18" s="428"/>
    </row>
    <row r="19" spans="1:14" ht="15" customHeight="1" x14ac:dyDescent="0.35">
      <c r="A19" s="192" t="s">
        <v>216</v>
      </c>
      <c r="B19" s="23">
        <f>B12+1</f>
        <v>4</v>
      </c>
      <c r="C19" s="347" t="s">
        <v>251</v>
      </c>
      <c r="D19" s="33">
        <v>1</v>
      </c>
      <c r="E19" s="10" t="s">
        <v>4</v>
      </c>
      <c r="F19" s="467" t="s">
        <v>110</v>
      </c>
      <c r="G19" s="468"/>
      <c r="H19" s="469"/>
      <c r="I19" s="210" t="s">
        <v>430</v>
      </c>
      <c r="J19" s="229"/>
      <c r="K19" s="229"/>
      <c r="L19" s="229"/>
      <c r="M19" s="229"/>
      <c r="N19" s="229"/>
    </row>
    <row r="20" spans="1:14" x14ac:dyDescent="0.35">
      <c r="A20" s="192"/>
      <c r="B20" s="23"/>
      <c r="C20" s="347"/>
      <c r="D20" s="63">
        <v>2</v>
      </c>
      <c r="E20" s="11" t="s">
        <v>5</v>
      </c>
      <c r="F20" s="467"/>
      <c r="G20" s="468"/>
      <c r="H20" s="469"/>
      <c r="I20" s="210" t="s">
        <v>431</v>
      </c>
      <c r="J20" s="229"/>
      <c r="K20" s="229"/>
      <c r="L20" s="229"/>
      <c r="M20" s="229"/>
      <c r="N20" s="229"/>
    </row>
    <row r="21" spans="1:14" x14ac:dyDescent="0.35">
      <c r="A21" s="192"/>
      <c r="B21" s="23"/>
      <c r="C21" s="347"/>
      <c r="D21" s="125">
        <v>-88</v>
      </c>
      <c r="E21" s="195" t="s">
        <v>7</v>
      </c>
      <c r="F21" s="467"/>
      <c r="G21" s="468"/>
      <c r="H21" s="469"/>
      <c r="J21" s="229"/>
      <c r="K21" s="229"/>
      <c r="L21" s="229"/>
      <c r="M21" s="229"/>
      <c r="N21" s="229"/>
    </row>
    <row r="22" spans="1:14" x14ac:dyDescent="0.35">
      <c r="A22" s="192"/>
      <c r="B22" s="23"/>
      <c r="C22" s="347"/>
      <c r="D22" s="125">
        <v>-99</v>
      </c>
      <c r="E22" s="195" t="s">
        <v>6</v>
      </c>
      <c r="F22" s="467"/>
      <c r="G22" s="468"/>
      <c r="H22" s="469"/>
      <c r="J22" s="229"/>
      <c r="K22" s="229"/>
      <c r="L22" s="229"/>
      <c r="M22" s="229"/>
      <c r="N22" s="229"/>
    </row>
    <row r="23" spans="1:14" ht="15" customHeight="1" x14ac:dyDescent="0.35">
      <c r="A23" s="191" t="s">
        <v>216</v>
      </c>
      <c r="B23" s="144">
        <f>B19+1</f>
        <v>5</v>
      </c>
      <c r="C23" s="391" t="s">
        <v>250</v>
      </c>
      <c r="D23" s="33">
        <v>1</v>
      </c>
      <c r="E23" s="10" t="s">
        <v>4</v>
      </c>
      <c r="F23" s="466" t="s">
        <v>110</v>
      </c>
      <c r="G23" s="468"/>
      <c r="H23" s="469"/>
      <c r="I23" s="210" t="s">
        <v>432</v>
      </c>
      <c r="J23" s="229"/>
      <c r="K23" s="229"/>
      <c r="L23" s="229"/>
      <c r="M23" s="229"/>
      <c r="N23" s="229"/>
    </row>
    <row r="24" spans="1:14" ht="15" customHeight="1" x14ac:dyDescent="0.35">
      <c r="A24" s="192"/>
      <c r="B24" s="23"/>
      <c r="C24" s="347"/>
      <c r="D24" s="63">
        <v>2</v>
      </c>
      <c r="E24" s="11" t="s">
        <v>5</v>
      </c>
      <c r="F24" s="467"/>
      <c r="G24" s="468"/>
      <c r="H24" s="469"/>
      <c r="I24" s="210" t="s">
        <v>433</v>
      </c>
      <c r="J24" s="229"/>
      <c r="K24" s="229"/>
      <c r="L24" s="229"/>
      <c r="M24" s="229"/>
      <c r="N24" s="229"/>
    </row>
    <row r="25" spans="1:14" ht="15" customHeight="1" x14ac:dyDescent="0.35">
      <c r="A25" s="192"/>
      <c r="B25" s="23"/>
      <c r="C25" s="347"/>
      <c r="D25" s="125">
        <v>-88</v>
      </c>
      <c r="E25" s="195" t="s">
        <v>7</v>
      </c>
      <c r="F25" s="467"/>
      <c r="G25" s="468"/>
      <c r="H25" s="469"/>
      <c r="J25" s="229"/>
      <c r="K25" s="229"/>
      <c r="L25" s="229"/>
      <c r="M25" s="229"/>
      <c r="N25" s="229"/>
    </row>
    <row r="26" spans="1:14" ht="15" customHeight="1" x14ac:dyDescent="0.35">
      <c r="A26" s="235"/>
      <c r="B26" s="145"/>
      <c r="C26" s="376"/>
      <c r="D26" s="196">
        <v>-99</v>
      </c>
      <c r="E26" s="197" t="s">
        <v>6</v>
      </c>
      <c r="F26" s="470"/>
      <c r="G26" s="468"/>
      <c r="H26" s="469"/>
      <c r="J26" s="229"/>
      <c r="K26" s="229"/>
      <c r="L26" s="229"/>
      <c r="M26" s="229"/>
      <c r="N26" s="229"/>
    </row>
    <row r="27" spans="1:14" x14ac:dyDescent="0.35">
      <c r="A27" s="191" t="s">
        <v>216</v>
      </c>
      <c r="B27" s="144">
        <f>B23+1</f>
        <v>6</v>
      </c>
      <c r="C27" s="380" t="s">
        <v>225</v>
      </c>
      <c r="D27" s="33">
        <v>1</v>
      </c>
      <c r="E27" s="10" t="s">
        <v>4</v>
      </c>
      <c r="F27" s="466" t="s">
        <v>110</v>
      </c>
      <c r="I27" s="210" t="s">
        <v>343</v>
      </c>
    </row>
    <row r="28" spans="1:14" ht="15" customHeight="1" x14ac:dyDescent="0.35">
      <c r="A28" s="192"/>
      <c r="B28" s="23"/>
      <c r="C28" s="362"/>
      <c r="D28" s="63">
        <v>2</v>
      </c>
      <c r="E28" s="11" t="s">
        <v>5</v>
      </c>
      <c r="F28" s="467"/>
      <c r="H28" s="229"/>
      <c r="J28" s="229"/>
      <c r="K28" s="229"/>
      <c r="L28" s="229"/>
      <c r="M28" s="229"/>
      <c r="N28" s="229"/>
    </row>
    <row r="29" spans="1:14" x14ac:dyDescent="0.35">
      <c r="A29" s="192"/>
      <c r="B29" s="23"/>
      <c r="C29" s="362"/>
      <c r="D29" s="125">
        <v>-88</v>
      </c>
      <c r="E29" s="195" t="s">
        <v>7</v>
      </c>
      <c r="F29" s="467"/>
    </row>
    <row r="30" spans="1:14" ht="15" customHeight="1" x14ac:dyDescent="0.35">
      <c r="A30" s="192"/>
      <c r="B30" s="23"/>
      <c r="C30" s="274"/>
      <c r="D30" s="125">
        <v>-99</v>
      </c>
      <c r="E30" s="195" t="s">
        <v>6</v>
      </c>
      <c r="F30" s="467"/>
    </row>
    <row r="31" spans="1:14" ht="15" customHeight="1" x14ac:dyDescent="0.35">
      <c r="A31" s="191" t="s">
        <v>216</v>
      </c>
      <c r="B31" s="144">
        <f>B27+1</f>
        <v>7</v>
      </c>
      <c r="C31" s="216" t="s">
        <v>122</v>
      </c>
      <c r="D31" s="33">
        <v>1</v>
      </c>
      <c r="E31" s="10" t="s">
        <v>4</v>
      </c>
      <c r="F31" s="466" t="s">
        <v>110</v>
      </c>
      <c r="H31" s="229"/>
      <c r="I31" s="210" t="s">
        <v>344</v>
      </c>
      <c r="J31" s="229"/>
      <c r="K31" s="229"/>
      <c r="L31" s="229"/>
      <c r="M31" s="229"/>
      <c r="N31" s="229"/>
    </row>
    <row r="32" spans="1:14" ht="15" customHeight="1" x14ac:dyDescent="0.35">
      <c r="A32" s="192"/>
      <c r="B32" s="23"/>
      <c r="C32" s="274"/>
      <c r="D32" s="63">
        <v>2</v>
      </c>
      <c r="E32" s="11" t="s">
        <v>5</v>
      </c>
      <c r="F32" s="467"/>
      <c r="H32" s="229"/>
      <c r="J32" s="229"/>
      <c r="K32" s="229"/>
      <c r="L32" s="229"/>
      <c r="M32" s="229"/>
      <c r="N32" s="229"/>
    </row>
    <row r="33" spans="1:14" ht="15" customHeight="1" x14ac:dyDescent="0.35">
      <c r="A33" s="192"/>
      <c r="B33" s="23"/>
      <c r="C33" s="274"/>
      <c r="D33" s="125">
        <v>-88</v>
      </c>
      <c r="E33" s="195" t="s">
        <v>7</v>
      </c>
      <c r="F33" s="467"/>
      <c r="H33" s="229"/>
      <c r="J33" s="229"/>
      <c r="K33" s="229"/>
      <c r="L33" s="229"/>
      <c r="M33" s="229"/>
      <c r="N33" s="229"/>
    </row>
    <row r="34" spans="1:14" ht="22.5" customHeight="1" x14ac:dyDescent="0.35">
      <c r="A34" s="235"/>
      <c r="B34" s="145"/>
      <c r="C34" s="275"/>
      <c r="D34" s="196">
        <v>-99</v>
      </c>
      <c r="E34" s="197" t="s">
        <v>6</v>
      </c>
      <c r="F34" s="470"/>
      <c r="H34" s="229"/>
      <c r="J34" s="229"/>
      <c r="K34" s="229"/>
      <c r="L34" s="229"/>
      <c r="M34" s="229"/>
      <c r="N34" s="229"/>
    </row>
    <row r="35" spans="1:14" x14ac:dyDescent="0.35">
      <c r="A35" s="191" t="s">
        <v>216</v>
      </c>
      <c r="B35" s="144">
        <f>B31+1</f>
        <v>8</v>
      </c>
      <c r="C35" s="380" t="s">
        <v>212</v>
      </c>
      <c r="D35" s="33">
        <v>1</v>
      </c>
      <c r="E35" s="10" t="s">
        <v>4</v>
      </c>
      <c r="F35" s="466" t="s">
        <v>110</v>
      </c>
      <c r="I35" s="210" t="s">
        <v>345</v>
      </c>
    </row>
    <row r="36" spans="1:14" x14ac:dyDescent="0.35">
      <c r="A36" s="192"/>
      <c r="B36" s="23"/>
      <c r="C36" s="362"/>
      <c r="D36" s="63">
        <v>2</v>
      </c>
      <c r="E36" s="11" t="s">
        <v>5</v>
      </c>
      <c r="F36" s="467"/>
    </row>
    <row r="37" spans="1:14" x14ac:dyDescent="0.35">
      <c r="A37" s="192"/>
      <c r="B37" s="23"/>
      <c r="C37" s="362"/>
      <c r="D37" s="125">
        <v>-88</v>
      </c>
      <c r="E37" s="195" t="s">
        <v>7</v>
      </c>
      <c r="F37" s="467"/>
      <c r="H37" s="229"/>
      <c r="J37" s="229"/>
      <c r="K37" s="229"/>
      <c r="L37" s="229"/>
      <c r="M37" s="229"/>
      <c r="N37" s="229"/>
    </row>
    <row r="38" spans="1:14" x14ac:dyDescent="0.35">
      <c r="A38" s="192"/>
      <c r="B38" s="23"/>
      <c r="C38" s="274"/>
      <c r="D38" s="196">
        <v>-99</v>
      </c>
      <c r="E38" s="197" t="s">
        <v>6</v>
      </c>
      <c r="F38" s="467"/>
    </row>
    <row r="39" spans="1:14" x14ac:dyDescent="0.35">
      <c r="A39" s="192" t="s">
        <v>216</v>
      </c>
      <c r="B39" s="144">
        <f>B35+1</f>
        <v>9</v>
      </c>
      <c r="C39" s="380" t="s">
        <v>224</v>
      </c>
      <c r="D39" s="33">
        <v>1</v>
      </c>
      <c r="E39" s="10" t="s">
        <v>4</v>
      </c>
      <c r="F39" s="466" t="s">
        <v>110</v>
      </c>
      <c r="H39" s="229"/>
      <c r="I39" s="210" t="s">
        <v>346</v>
      </c>
      <c r="J39" s="229"/>
      <c r="K39" s="229"/>
      <c r="L39" s="229"/>
      <c r="M39" s="229"/>
      <c r="N39" s="229"/>
    </row>
    <row r="40" spans="1:14" ht="15" customHeight="1" x14ac:dyDescent="0.35">
      <c r="A40" s="192"/>
      <c r="B40" s="23"/>
      <c r="C40" s="362"/>
      <c r="D40" s="63">
        <v>2</v>
      </c>
      <c r="E40" s="11" t="s">
        <v>5</v>
      </c>
      <c r="F40" s="467"/>
    </row>
    <row r="41" spans="1:14" x14ac:dyDescent="0.35">
      <c r="A41" s="192"/>
      <c r="B41" s="23"/>
      <c r="C41" s="274"/>
      <c r="D41" s="125">
        <v>-88</v>
      </c>
      <c r="E41" s="195" t="s">
        <v>7</v>
      </c>
      <c r="F41" s="467"/>
    </row>
    <row r="42" spans="1:14" x14ac:dyDescent="0.35">
      <c r="A42" s="192"/>
      <c r="B42" s="23"/>
      <c r="C42" s="274"/>
      <c r="D42" s="125">
        <v>-99</v>
      </c>
      <c r="E42" s="195" t="s">
        <v>6</v>
      </c>
      <c r="F42" s="467"/>
      <c r="H42" s="229"/>
      <c r="J42" s="229"/>
      <c r="K42" s="229"/>
      <c r="L42" s="229"/>
      <c r="M42" s="229"/>
      <c r="N42" s="229"/>
    </row>
    <row r="43" spans="1:14" x14ac:dyDescent="0.35">
      <c r="A43" s="191" t="s">
        <v>216</v>
      </c>
      <c r="B43" s="144">
        <f>B39+1</f>
        <v>10</v>
      </c>
      <c r="C43" s="380" t="s">
        <v>290</v>
      </c>
      <c r="D43" s="33">
        <v>1</v>
      </c>
      <c r="E43" s="10" t="s">
        <v>4</v>
      </c>
      <c r="F43" s="466" t="s">
        <v>110</v>
      </c>
      <c r="H43" s="229"/>
      <c r="I43" s="210" t="s">
        <v>347</v>
      </c>
      <c r="J43" s="229"/>
      <c r="K43" s="229"/>
      <c r="L43" s="229"/>
      <c r="M43" s="229"/>
      <c r="N43" s="229"/>
    </row>
    <row r="44" spans="1:14" x14ac:dyDescent="0.35">
      <c r="A44" s="192"/>
      <c r="B44" s="23"/>
      <c r="C44" s="362"/>
      <c r="D44" s="63">
        <v>2</v>
      </c>
      <c r="E44" s="11" t="s">
        <v>5</v>
      </c>
      <c r="F44" s="467"/>
    </row>
    <row r="45" spans="1:14" x14ac:dyDescent="0.35">
      <c r="A45" s="192"/>
      <c r="B45" s="23"/>
      <c r="C45" s="274"/>
      <c r="D45" s="125">
        <v>-77</v>
      </c>
      <c r="E45" s="100" t="s">
        <v>8</v>
      </c>
      <c r="F45" s="467"/>
    </row>
    <row r="46" spans="1:14" x14ac:dyDescent="0.35">
      <c r="A46" s="192"/>
      <c r="B46" s="23"/>
      <c r="C46" s="240"/>
      <c r="D46" s="125">
        <v>-88</v>
      </c>
      <c r="E46" s="195" t="s">
        <v>7</v>
      </c>
      <c r="F46" s="467"/>
    </row>
    <row r="47" spans="1:14" ht="15" customHeight="1" x14ac:dyDescent="0.35">
      <c r="A47" s="235"/>
      <c r="B47" s="145"/>
      <c r="C47" s="275"/>
      <c r="D47" s="196">
        <v>-99</v>
      </c>
      <c r="E47" s="197" t="s">
        <v>6</v>
      </c>
      <c r="F47" s="470"/>
      <c r="H47" s="229"/>
      <c r="J47" s="229"/>
      <c r="K47" s="229"/>
      <c r="L47" s="229"/>
      <c r="M47" s="229"/>
      <c r="N47" s="229"/>
    </row>
    <row r="48" spans="1:14" ht="15" customHeight="1" x14ac:dyDescent="0.35">
      <c r="A48" s="191" t="s">
        <v>216</v>
      </c>
      <c r="B48" s="277">
        <f>B43+1</f>
        <v>11</v>
      </c>
      <c r="C48" s="276" t="s">
        <v>12</v>
      </c>
      <c r="D48" s="33">
        <v>1</v>
      </c>
      <c r="E48" s="10" t="s">
        <v>4</v>
      </c>
      <c r="F48" s="466" t="s">
        <v>110</v>
      </c>
      <c r="I48" s="210" t="s">
        <v>348</v>
      </c>
    </row>
    <row r="49" spans="1:14" x14ac:dyDescent="0.35">
      <c r="A49" s="192"/>
      <c r="B49" s="32"/>
      <c r="C49" s="241"/>
      <c r="D49" s="63">
        <v>2</v>
      </c>
      <c r="E49" s="11" t="s">
        <v>5</v>
      </c>
      <c r="F49" s="467"/>
    </row>
    <row r="50" spans="1:14" x14ac:dyDescent="0.35">
      <c r="A50" s="192"/>
      <c r="B50" s="32"/>
      <c r="C50" s="278"/>
      <c r="D50" s="125">
        <v>-88</v>
      </c>
      <c r="E50" s="195" t="s">
        <v>7</v>
      </c>
      <c r="F50" s="467"/>
      <c r="H50" s="229"/>
      <c r="J50" s="229"/>
      <c r="K50" s="229"/>
      <c r="L50" s="229"/>
      <c r="M50" s="229"/>
      <c r="N50" s="229"/>
    </row>
    <row r="51" spans="1:14" x14ac:dyDescent="0.35">
      <c r="A51" s="192"/>
      <c r="B51" s="32"/>
      <c r="C51" s="278"/>
      <c r="D51" s="196">
        <v>-99</v>
      </c>
      <c r="E51" s="197" t="s">
        <v>6</v>
      </c>
      <c r="F51" s="467"/>
    </row>
    <row r="52" spans="1:14" x14ac:dyDescent="0.35">
      <c r="A52" s="191" t="s">
        <v>216</v>
      </c>
      <c r="B52" s="144">
        <f>B48+1</f>
        <v>12</v>
      </c>
      <c r="C52" s="380" t="s">
        <v>237</v>
      </c>
      <c r="D52" s="33">
        <v>1</v>
      </c>
      <c r="E52" s="10" t="s">
        <v>4</v>
      </c>
      <c r="F52" s="466" t="s">
        <v>110</v>
      </c>
      <c r="H52" s="229"/>
      <c r="I52" s="210" t="s">
        <v>349</v>
      </c>
      <c r="J52" s="229"/>
      <c r="K52" s="229"/>
      <c r="L52" s="229"/>
      <c r="M52" s="229"/>
      <c r="N52" s="229"/>
    </row>
    <row r="53" spans="1:14" x14ac:dyDescent="0.35">
      <c r="A53" s="192"/>
      <c r="B53" s="23"/>
      <c r="C53" s="362"/>
      <c r="D53" s="63">
        <v>2</v>
      </c>
      <c r="E53" s="11" t="s">
        <v>5</v>
      </c>
      <c r="F53" s="467"/>
      <c r="H53" s="229"/>
    </row>
    <row r="54" spans="1:14" ht="16.5" customHeight="1" x14ac:dyDescent="0.35">
      <c r="A54" s="192"/>
      <c r="B54" s="23"/>
      <c r="C54" s="274"/>
      <c r="D54" s="125">
        <v>-88</v>
      </c>
      <c r="E54" s="195" t="s">
        <v>7</v>
      </c>
      <c r="F54" s="467"/>
      <c r="H54" s="229"/>
    </row>
    <row r="55" spans="1:14" x14ac:dyDescent="0.35">
      <c r="A55" s="192"/>
      <c r="B55" s="23"/>
      <c r="C55" s="274"/>
      <c r="D55" s="125">
        <v>-99</v>
      </c>
      <c r="E55" s="195" t="s">
        <v>6</v>
      </c>
      <c r="F55" s="467"/>
      <c r="H55" s="229"/>
      <c r="J55" s="229"/>
      <c r="K55" s="229"/>
      <c r="L55" s="229"/>
      <c r="M55" s="229"/>
      <c r="N55" s="229"/>
    </row>
    <row r="56" spans="1:14" x14ac:dyDescent="0.35">
      <c r="A56" s="191" t="s">
        <v>216</v>
      </c>
      <c r="B56" s="144">
        <f>B52+1</f>
        <v>13</v>
      </c>
      <c r="C56" s="216" t="s">
        <v>123</v>
      </c>
      <c r="D56" s="33">
        <v>1</v>
      </c>
      <c r="E56" s="10" t="s">
        <v>4</v>
      </c>
      <c r="F56" s="466" t="s">
        <v>110</v>
      </c>
      <c r="H56" s="229"/>
      <c r="I56" s="210" t="s">
        <v>350</v>
      </c>
      <c r="J56" s="229"/>
      <c r="K56" s="229"/>
      <c r="L56" s="229"/>
      <c r="M56" s="229"/>
      <c r="N56" s="229"/>
    </row>
    <row r="57" spans="1:14" x14ac:dyDescent="0.35">
      <c r="A57" s="192"/>
      <c r="B57" s="23"/>
      <c r="C57" s="274"/>
      <c r="D57" s="63">
        <v>2</v>
      </c>
      <c r="E57" s="11" t="s">
        <v>5</v>
      </c>
      <c r="F57" s="467"/>
    </row>
    <row r="58" spans="1:14" x14ac:dyDescent="0.35">
      <c r="A58" s="192"/>
      <c r="B58" s="23"/>
      <c r="C58" s="274"/>
      <c r="D58" s="125">
        <v>-88</v>
      </c>
      <c r="E58" s="195" t="s">
        <v>7</v>
      </c>
      <c r="F58" s="467"/>
    </row>
    <row r="59" spans="1:14" x14ac:dyDescent="0.35">
      <c r="A59" s="235"/>
      <c r="B59" s="145"/>
      <c r="C59" s="275"/>
      <c r="D59" s="196">
        <v>-99</v>
      </c>
      <c r="E59" s="197" t="s">
        <v>6</v>
      </c>
      <c r="F59" s="470"/>
      <c r="H59" s="229"/>
      <c r="J59" s="229"/>
      <c r="K59" s="229"/>
      <c r="L59" s="229"/>
      <c r="M59" s="229"/>
      <c r="N59" s="229"/>
    </row>
    <row r="60" spans="1:14" x14ac:dyDescent="0.35">
      <c r="A60" s="191" t="s">
        <v>216</v>
      </c>
      <c r="B60" s="144">
        <f>B56+1</f>
        <v>14</v>
      </c>
      <c r="C60" s="380" t="s">
        <v>524</v>
      </c>
      <c r="D60" s="189">
        <v>1</v>
      </c>
      <c r="E60" s="187" t="s">
        <v>4</v>
      </c>
      <c r="F60" s="466" t="s">
        <v>110</v>
      </c>
      <c r="H60" s="229"/>
      <c r="I60" s="210" t="s">
        <v>351</v>
      </c>
      <c r="J60" s="229"/>
      <c r="K60" s="229"/>
      <c r="L60" s="229"/>
      <c r="M60" s="229"/>
      <c r="N60" s="229"/>
    </row>
    <row r="61" spans="1:14" x14ac:dyDescent="0.35">
      <c r="A61" s="192"/>
      <c r="B61" s="23"/>
      <c r="C61" s="362"/>
      <c r="D61" s="190">
        <v>2</v>
      </c>
      <c r="E61" s="188" t="s">
        <v>5</v>
      </c>
      <c r="F61" s="467"/>
    </row>
    <row r="62" spans="1:14" x14ac:dyDescent="0.35">
      <c r="A62" s="192"/>
      <c r="B62" s="23"/>
      <c r="C62" s="362"/>
      <c r="D62" s="242">
        <v>-88</v>
      </c>
      <c r="E62" s="188" t="s">
        <v>7</v>
      </c>
      <c r="F62" s="467"/>
    </row>
    <row r="63" spans="1:14" ht="21" customHeight="1" x14ac:dyDescent="0.35">
      <c r="A63" s="192"/>
      <c r="B63" s="23"/>
      <c r="C63" s="362"/>
      <c r="D63" s="243">
        <v>-99</v>
      </c>
      <c r="E63" s="244" t="s">
        <v>6</v>
      </c>
      <c r="F63" s="467"/>
      <c r="H63" s="229"/>
      <c r="J63" s="229"/>
      <c r="K63" s="229"/>
      <c r="L63" s="229"/>
      <c r="M63" s="229"/>
      <c r="N63" s="229"/>
    </row>
    <row r="64" spans="1:14" x14ac:dyDescent="0.35">
      <c r="A64" s="192" t="s">
        <v>216</v>
      </c>
      <c r="B64" s="23">
        <f>B60+1</f>
        <v>15</v>
      </c>
      <c r="C64" s="380" t="s">
        <v>238</v>
      </c>
      <c r="D64" s="33">
        <v>1</v>
      </c>
      <c r="E64" s="10" t="s">
        <v>4</v>
      </c>
      <c r="F64" s="466" t="s">
        <v>110</v>
      </c>
      <c r="H64" s="229"/>
      <c r="I64" s="210" t="s">
        <v>352</v>
      </c>
      <c r="J64" s="229"/>
      <c r="K64" s="229"/>
      <c r="L64" s="229"/>
      <c r="M64" s="229"/>
      <c r="N64" s="229"/>
    </row>
    <row r="65" spans="1:14" x14ac:dyDescent="0.35">
      <c r="A65" s="192"/>
      <c r="B65" s="23"/>
      <c r="C65" s="362"/>
      <c r="D65" s="63">
        <v>2</v>
      </c>
      <c r="E65" s="11" t="s">
        <v>5</v>
      </c>
      <c r="F65" s="467"/>
    </row>
    <row r="66" spans="1:14" x14ac:dyDescent="0.35">
      <c r="A66" s="192"/>
      <c r="B66" s="23"/>
      <c r="C66" s="362"/>
      <c r="D66" s="125">
        <v>-88</v>
      </c>
      <c r="E66" s="195" t="s">
        <v>7</v>
      </c>
      <c r="F66" s="467"/>
    </row>
    <row r="67" spans="1:14" x14ac:dyDescent="0.35">
      <c r="A67" s="192"/>
      <c r="B67" s="23"/>
      <c r="C67" s="274"/>
      <c r="D67" s="196">
        <v>-99</v>
      </c>
      <c r="E67" s="197" t="s">
        <v>6</v>
      </c>
      <c r="F67" s="467"/>
      <c r="H67" s="229"/>
      <c r="J67" s="229"/>
      <c r="K67" s="229"/>
      <c r="L67" s="229"/>
      <c r="M67" s="229"/>
      <c r="N67" s="229"/>
    </row>
    <row r="68" spans="1:14" x14ac:dyDescent="0.35">
      <c r="A68" s="192" t="s">
        <v>216</v>
      </c>
      <c r="B68" s="23">
        <v>16</v>
      </c>
      <c r="C68" s="380" t="s">
        <v>563</v>
      </c>
      <c r="D68" s="33">
        <v>1</v>
      </c>
      <c r="E68" s="10" t="s">
        <v>4</v>
      </c>
      <c r="F68" s="466" t="s">
        <v>110</v>
      </c>
      <c r="I68" s="210" t="s">
        <v>354</v>
      </c>
    </row>
    <row r="69" spans="1:14" x14ac:dyDescent="0.35">
      <c r="A69" s="192"/>
      <c r="B69" s="23"/>
      <c r="C69" s="362"/>
      <c r="D69" s="63">
        <v>2</v>
      </c>
      <c r="E69" s="11" t="s">
        <v>5</v>
      </c>
      <c r="F69" s="467"/>
    </row>
    <row r="70" spans="1:14" x14ac:dyDescent="0.35">
      <c r="A70" s="192"/>
      <c r="B70" s="23"/>
      <c r="C70" s="362"/>
      <c r="D70" s="125">
        <v>-88</v>
      </c>
      <c r="E70" s="195" t="s">
        <v>7</v>
      </c>
      <c r="F70" s="467"/>
      <c r="H70" s="229"/>
      <c r="J70" s="229"/>
      <c r="K70" s="229"/>
      <c r="L70" s="229"/>
      <c r="M70" s="229"/>
      <c r="N70" s="229"/>
    </row>
    <row r="71" spans="1:14" x14ac:dyDescent="0.35">
      <c r="A71" s="192"/>
      <c r="B71" s="23"/>
      <c r="C71" s="362"/>
      <c r="D71" s="196">
        <v>-99</v>
      </c>
      <c r="E71" s="197" t="s">
        <v>6</v>
      </c>
      <c r="F71" s="467"/>
    </row>
    <row r="72" spans="1:14" x14ac:dyDescent="0.35">
      <c r="A72" s="191" t="s">
        <v>216</v>
      </c>
      <c r="B72" s="144">
        <f>B68+1</f>
        <v>17</v>
      </c>
      <c r="C72" s="380" t="s">
        <v>564</v>
      </c>
      <c r="D72" s="33">
        <v>1</v>
      </c>
      <c r="E72" s="10" t="s">
        <v>4</v>
      </c>
      <c r="F72" s="475" t="s">
        <v>110</v>
      </c>
      <c r="I72" s="210" t="s">
        <v>353</v>
      </c>
    </row>
    <row r="73" spans="1:14" x14ac:dyDescent="0.35">
      <c r="A73" s="192"/>
      <c r="B73" s="23"/>
      <c r="C73" s="362"/>
      <c r="D73" s="63">
        <v>2</v>
      </c>
      <c r="E73" s="11" t="s">
        <v>5</v>
      </c>
      <c r="F73" s="476"/>
    </row>
    <row r="74" spans="1:14" x14ac:dyDescent="0.35">
      <c r="A74" s="192"/>
      <c r="B74" s="23"/>
      <c r="C74" s="274"/>
      <c r="D74" s="125">
        <v>-88</v>
      </c>
      <c r="E74" s="195" t="s">
        <v>7</v>
      </c>
      <c r="F74" s="476"/>
      <c r="H74" s="229"/>
      <c r="J74" s="229"/>
      <c r="K74" s="229"/>
      <c r="L74" s="229"/>
      <c r="M74" s="229"/>
      <c r="N74" s="229"/>
    </row>
    <row r="75" spans="1:14" x14ac:dyDescent="0.35">
      <c r="A75" s="192"/>
      <c r="B75" s="23"/>
      <c r="C75" s="274"/>
      <c r="D75" s="196">
        <v>-99</v>
      </c>
      <c r="E75" s="197" t="s">
        <v>6</v>
      </c>
      <c r="F75" s="476"/>
    </row>
    <row r="76" spans="1:14" x14ac:dyDescent="0.35">
      <c r="A76" s="191" t="s">
        <v>216</v>
      </c>
      <c r="B76" s="144">
        <f>B72+1</f>
        <v>18</v>
      </c>
      <c r="C76" s="380" t="s">
        <v>300</v>
      </c>
      <c r="D76" s="33">
        <v>1</v>
      </c>
      <c r="E76" s="10" t="s">
        <v>4</v>
      </c>
      <c r="F76" s="466" t="s">
        <v>110</v>
      </c>
      <c r="H76" s="229"/>
      <c r="I76" s="210" t="s">
        <v>355</v>
      </c>
      <c r="J76" s="229"/>
      <c r="K76" s="229"/>
      <c r="L76" s="229"/>
      <c r="M76" s="229"/>
      <c r="N76" s="229"/>
    </row>
    <row r="77" spans="1:14" x14ac:dyDescent="0.35">
      <c r="A77" s="192"/>
      <c r="B77" s="23"/>
      <c r="C77" s="362"/>
      <c r="D77" s="63">
        <v>2</v>
      </c>
      <c r="E77" s="11" t="s">
        <v>5</v>
      </c>
      <c r="F77" s="467"/>
      <c r="H77" s="229"/>
      <c r="J77" s="229"/>
      <c r="K77" s="229"/>
      <c r="L77" s="229"/>
      <c r="M77" s="229"/>
      <c r="N77" s="229"/>
    </row>
    <row r="78" spans="1:14" x14ac:dyDescent="0.35">
      <c r="A78" s="192"/>
      <c r="B78" s="23"/>
      <c r="C78" s="274"/>
      <c r="D78" s="125">
        <v>-88</v>
      </c>
      <c r="E78" s="195" t="s">
        <v>7</v>
      </c>
      <c r="F78" s="467"/>
      <c r="H78" s="229"/>
      <c r="J78" s="229"/>
      <c r="K78" s="229"/>
      <c r="L78" s="229"/>
      <c r="M78" s="229"/>
      <c r="N78" s="229"/>
    </row>
    <row r="79" spans="1:14" ht="30.75" customHeight="1" x14ac:dyDescent="0.35">
      <c r="A79" s="192"/>
      <c r="B79" s="23"/>
      <c r="C79" s="274"/>
      <c r="D79" s="196">
        <v>-99</v>
      </c>
      <c r="E79" s="197" t="s">
        <v>6</v>
      </c>
      <c r="F79" s="467"/>
      <c r="H79" s="229"/>
      <c r="J79" s="229"/>
      <c r="K79" s="229"/>
      <c r="L79" s="229"/>
      <c r="M79" s="229"/>
      <c r="N79" s="229"/>
    </row>
    <row r="80" spans="1:14" ht="13.5" customHeight="1" x14ac:dyDescent="0.35">
      <c r="A80" s="191" t="s">
        <v>216</v>
      </c>
      <c r="B80" s="144">
        <f>B76+1</f>
        <v>19</v>
      </c>
      <c r="C80" s="380" t="s">
        <v>478</v>
      </c>
      <c r="D80" s="33">
        <v>1</v>
      </c>
      <c r="E80" s="10" t="s">
        <v>4</v>
      </c>
      <c r="F80" s="466" t="s">
        <v>110</v>
      </c>
      <c r="H80" s="229"/>
      <c r="I80" s="210" t="s">
        <v>356</v>
      </c>
      <c r="J80" s="229"/>
      <c r="K80" s="229"/>
      <c r="L80" s="229"/>
      <c r="M80" s="229"/>
      <c r="N80" s="229"/>
    </row>
    <row r="81" spans="1:14" x14ac:dyDescent="0.35">
      <c r="A81" s="192"/>
      <c r="B81" s="23"/>
      <c r="C81" s="362"/>
      <c r="D81" s="63">
        <v>2</v>
      </c>
      <c r="E81" s="11" t="s">
        <v>5</v>
      </c>
      <c r="F81" s="467"/>
      <c r="H81" s="229"/>
      <c r="J81" s="229"/>
      <c r="K81" s="229"/>
      <c r="L81" s="229"/>
      <c r="M81" s="229"/>
      <c r="N81" s="229"/>
    </row>
    <row r="82" spans="1:14" x14ac:dyDescent="0.35">
      <c r="A82" s="192"/>
      <c r="B82" s="23"/>
      <c r="C82" s="274"/>
      <c r="D82" s="125">
        <v>-88</v>
      </c>
      <c r="E82" s="195" t="s">
        <v>7</v>
      </c>
      <c r="F82" s="467"/>
      <c r="H82" s="229"/>
      <c r="J82" s="229"/>
      <c r="K82" s="229"/>
      <c r="L82" s="229"/>
      <c r="M82" s="229"/>
      <c r="N82" s="229"/>
    </row>
    <row r="83" spans="1:14" x14ac:dyDescent="0.35">
      <c r="A83" s="192"/>
      <c r="B83" s="23"/>
      <c r="C83" s="274"/>
      <c r="D83" s="125">
        <v>-99</v>
      </c>
      <c r="E83" s="195" t="s">
        <v>6</v>
      </c>
      <c r="F83" s="467"/>
      <c r="H83" s="229"/>
      <c r="J83" s="229"/>
      <c r="K83" s="229"/>
      <c r="L83" s="229"/>
      <c r="M83" s="229"/>
      <c r="N83" s="229"/>
    </row>
    <row r="84" spans="1:14" ht="15" customHeight="1" x14ac:dyDescent="0.35">
      <c r="A84" s="191" t="s">
        <v>216</v>
      </c>
      <c r="B84" s="144">
        <f>B80+1</f>
        <v>20</v>
      </c>
      <c r="C84" s="216" t="s">
        <v>15</v>
      </c>
      <c r="D84" s="33">
        <v>1</v>
      </c>
      <c r="E84" s="10" t="s">
        <v>4</v>
      </c>
      <c r="F84" s="466" t="s">
        <v>110</v>
      </c>
      <c r="H84" s="229"/>
      <c r="I84" s="210" t="s">
        <v>357</v>
      </c>
      <c r="J84" s="229"/>
      <c r="K84" s="229"/>
      <c r="L84" s="229"/>
      <c r="M84" s="229"/>
      <c r="N84" s="229"/>
    </row>
    <row r="85" spans="1:14" x14ac:dyDescent="0.35">
      <c r="A85" s="192"/>
      <c r="B85" s="23"/>
      <c r="C85" s="274"/>
      <c r="D85" s="63">
        <v>2</v>
      </c>
      <c r="E85" s="11" t="s">
        <v>5</v>
      </c>
      <c r="F85" s="467"/>
      <c r="H85" s="229"/>
      <c r="J85" s="229"/>
      <c r="K85" s="229"/>
      <c r="L85" s="229"/>
      <c r="M85" s="229"/>
      <c r="N85" s="229"/>
    </row>
    <row r="86" spans="1:14" x14ac:dyDescent="0.35">
      <c r="A86" s="192"/>
      <c r="B86" s="23"/>
      <c r="C86" s="274"/>
      <c r="D86" s="125">
        <v>-88</v>
      </c>
      <c r="E86" s="195" t="s">
        <v>7</v>
      </c>
      <c r="F86" s="467"/>
      <c r="H86" s="229"/>
    </row>
    <row r="87" spans="1:14" x14ac:dyDescent="0.35">
      <c r="A87" s="235"/>
      <c r="B87" s="145"/>
      <c r="C87" s="275"/>
      <c r="D87" s="196">
        <v>-99</v>
      </c>
      <c r="E87" s="197" t="s">
        <v>6</v>
      </c>
      <c r="F87" s="470"/>
      <c r="G87" s="68"/>
    </row>
    <row r="88" spans="1:14" ht="15" customHeight="1" x14ac:dyDescent="0.35">
      <c r="A88" s="191" t="s">
        <v>216</v>
      </c>
      <c r="B88" s="144">
        <f>B84+1</f>
        <v>21</v>
      </c>
      <c r="C88" s="380" t="s">
        <v>479</v>
      </c>
      <c r="D88" s="33">
        <v>1</v>
      </c>
      <c r="E88" s="10" t="s">
        <v>4</v>
      </c>
      <c r="F88" s="466" t="s">
        <v>110</v>
      </c>
      <c r="I88" s="210" t="s">
        <v>358</v>
      </c>
    </row>
    <row r="89" spans="1:14" x14ac:dyDescent="0.35">
      <c r="A89" s="42"/>
      <c r="B89" s="23"/>
      <c r="C89" s="362"/>
      <c r="D89" s="63">
        <v>2</v>
      </c>
      <c r="E89" s="11" t="s">
        <v>5</v>
      </c>
      <c r="F89" s="467"/>
      <c r="H89" s="229"/>
      <c r="J89" s="229"/>
      <c r="K89" s="229"/>
      <c r="L89" s="229"/>
      <c r="M89" s="229"/>
      <c r="N89" s="229"/>
    </row>
    <row r="90" spans="1:14" x14ac:dyDescent="0.35">
      <c r="A90" s="42"/>
      <c r="B90" s="23"/>
      <c r="C90" s="362"/>
      <c r="D90" s="125">
        <v>-88</v>
      </c>
      <c r="E90" s="195" t="s">
        <v>7</v>
      </c>
      <c r="F90" s="467"/>
    </row>
    <row r="91" spans="1:14" x14ac:dyDescent="0.35">
      <c r="A91" s="42"/>
      <c r="B91" s="23"/>
      <c r="C91" s="362"/>
      <c r="D91" s="125">
        <v>-99</v>
      </c>
      <c r="E91" s="195" t="s">
        <v>6</v>
      </c>
      <c r="F91" s="467"/>
    </row>
    <row r="92" spans="1:14" x14ac:dyDescent="0.35">
      <c r="A92" s="191" t="s">
        <v>216</v>
      </c>
      <c r="B92" s="144">
        <f>B88+1</f>
        <v>22</v>
      </c>
      <c r="C92" s="380" t="s">
        <v>565</v>
      </c>
      <c r="D92" s="33">
        <v>1</v>
      </c>
      <c r="E92" s="10" t="s">
        <v>4</v>
      </c>
      <c r="F92" s="466" t="s">
        <v>110</v>
      </c>
      <c r="I92" s="210" t="s">
        <v>359</v>
      </c>
    </row>
    <row r="93" spans="1:14" x14ac:dyDescent="0.35">
      <c r="A93" s="192"/>
      <c r="B93" s="23"/>
      <c r="C93" s="362"/>
      <c r="D93" s="63">
        <v>2</v>
      </c>
      <c r="E93" s="11" t="s">
        <v>5</v>
      </c>
      <c r="F93" s="467"/>
      <c r="H93" s="229"/>
      <c r="J93" s="229"/>
      <c r="K93" s="229"/>
      <c r="L93" s="229"/>
      <c r="M93" s="229"/>
      <c r="N93" s="229"/>
    </row>
    <row r="94" spans="1:14" x14ac:dyDescent="0.35">
      <c r="A94" s="192"/>
      <c r="B94" s="23"/>
      <c r="C94" s="362"/>
      <c r="D94" s="125">
        <v>-88</v>
      </c>
      <c r="E94" s="195" t="s">
        <v>7</v>
      </c>
      <c r="F94" s="467"/>
    </row>
    <row r="95" spans="1:14" x14ac:dyDescent="0.35">
      <c r="A95" s="235"/>
      <c r="B95" s="145"/>
      <c r="C95" s="363"/>
      <c r="D95" s="196">
        <v>-99</v>
      </c>
      <c r="E95" s="197" t="s">
        <v>6</v>
      </c>
      <c r="F95" s="470"/>
    </row>
    <row r="96" spans="1:14" x14ac:dyDescent="0.35">
      <c r="A96" s="192" t="s">
        <v>216</v>
      </c>
      <c r="B96" s="23">
        <v>23</v>
      </c>
      <c r="C96" s="274" t="s">
        <v>226</v>
      </c>
      <c r="D96" s="33">
        <v>1</v>
      </c>
      <c r="E96" s="10" t="s">
        <v>4</v>
      </c>
      <c r="F96" s="466" t="s">
        <v>110</v>
      </c>
      <c r="I96" s="210" t="s">
        <v>471</v>
      </c>
    </row>
    <row r="97" spans="1:14" x14ac:dyDescent="0.35">
      <c r="A97" s="192"/>
      <c r="B97" s="23"/>
      <c r="C97" s="274"/>
      <c r="D97" s="63">
        <v>2</v>
      </c>
      <c r="E97" s="11" t="s">
        <v>5</v>
      </c>
      <c r="F97" s="467"/>
      <c r="G97" s="68" t="s">
        <v>17</v>
      </c>
      <c r="H97" s="210" t="s">
        <v>307</v>
      </c>
      <c r="I97" s="210" t="s">
        <v>472</v>
      </c>
    </row>
    <row r="98" spans="1:14" x14ac:dyDescent="0.35">
      <c r="A98" s="192"/>
      <c r="B98" s="23"/>
      <c r="C98" s="274"/>
      <c r="D98" s="125">
        <v>-88</v>
      </c>
      <c r="E98" s="195" t="s">
        <v>7</v>
      </c>
      <c r="F98" s="467"/>
      <c r="H98" s="229"/>
      <c r="J98" s="229"/>
      <c r="K98" s="229"/>
      <c r="L98" s="229"/>
      <c r="M98" s="229"/>
      <c r="N98" s="229"/>
    </row>
    <row r="99" spans="1:14" x14ac:dyDescent="0.35">
      <c r="A99" s="192"/>
      <c r="B99" s="23"/>
      <c r="C99" s="274"/>
      <c r="D99" s="196">
        <v>-99</v>
      </c>
      <c r="E99" s="197" t="s">
        <v>6</v>
      </c>
      <c r="F99" s="467"/>
    </row>
    <row r="100" spans="1:14" x14ac:dyDescent="0.35">
      <c r="A100" s="191" t="s">
        <v>216</v>
      </c>
      <c r="B100" s="144">
        <f>B96</f>
        <v>23</v>
      </c>
      <c r="C100" s="380" t="s">
        <v>280</v>
      </c>
      <c r="D100" s="33">
        <v>1</v>
      </c>
      <c r="E100" s="392" t="s">
        <v>222</v>
      </c>
      <c r="F100" s="361"/>
      <c r="I100" s="210" t="s">
        <v>473</v>
      </c>
    </row>
    <row r="101" spans="1:14" ht="30.75" customHeight="1" x14ac:dyDescent="0.35">
      <c r="A101" s="192"/>
      <c r="B101" s="23"/>
      <c r="C101" s="362"/>
      <c r="D101" s="63">
        <f t="shared" ref="D101:D106" si="0">D100+1</f>
        <v>2</v>
      </c>
      <c r="E101" s="393" t="s">
        <v>259</v>
      </c>
      <c r="F101" s="348"/>
    </row>
    <row r="102" spans="1:14" x14ac:dyDescent="0.35">
      <c r="A102" s="192"/>
      <c r="B102" s="23"/>
      <c r="C102" s="362"/>
      <c r="D102" s="63">
        <f t="shared" si="0"/>
        <v>3</v>
      </c>
      <c r="E102" s="393" t="s">
        <v>221</v>
      </c>
      <c r="F102" s="348"/>
      <c r="H102" s="229"/>
      <c r="J102" s="229"/>
      <c r="K102" s="229"/>
      <c r="L102" s="229"/>
      <c r="M102" s="229"/>
      <c r="N102" s="229"/>
    </row>
    <row r="103" spans="1:14" x14ac:dyDescent="0.35">
      <c r="A103" s="192"/>
      <c r="B103" s="23"/>
      <c r="C103" s="274"/>
      <c r="D103" s="63">
        <f t="shared" si="0"/>
        <v>4</v>
      </c>
      <c r="E103" s="393" t="s">
        <v>228</v>
      </c>
      <c r="F103" s="348"/>
    </row>
    <row r="104" spans="1:14" x14ac:dyDescent="0.35">
      <c r="A104" s="192"/>
      <c r="B104" s="23"/>
      <c r="C104" s="274"/>
      <c r="D104" s="63">
        <f t="shared" si="0"/>
        <v>5</v>
      </c>
      <c r="E104" s="393" t="s">
        <v>235</v>
      </c>
      <c r="F104" s="348"/>
    </row>
    <row r="105" spans="1:14" x14ac:dyDescent="0.35">
      <c r="A105" s="192"/>
      <c r="B105" s="23"/>
      <c r="C105" s="274"/>
      <c r="D105" s="63">
        <f t="shared" si="0"/>
        <v>6</v>
      </c>
      <c r="E105" s="393" t="s">
        <v>260</v>
      </c>
      <c r="F105" s="348"/>
    </row>
    <row r="106" spans="1:14" x14ac:dyDescent="0.35">
      <c r="A106" s="192"/>
      <c r="B106" s="23"/>
      <c r="C106" s="274"/>
      <c r="D106" s="63">
        <f t="shared" si="0"/>
        <v>7</v>
      </c>
      <c r="E106" s="393" t="s">
        <v>303</v>
      </c>
      <c r="F106" s="348"/>
    </row>
    <row r="107" spans="1:14" x14ac:dyDescent="0.35">
      <c r="A107" s="192"/>
      <c r="B107" s="23"/>
      <c r="C107" s="274"/>
      <c r="D107" s="63">
        <v>8</v>
      </c>
      <c r="E107" s="32" t="s">
        <v>572</v>
      </c>
      <c r="F107" s="23"/>
    </row>
    <row r="108" spans="1:14" x14ac:dyDescent="0.35">
      <c r="A108" s="192"/>
      <c r="B108" s="23"/>
      <c r="C108" s="274"/>
      <c r="D108" s="63">
        <v>9</v>
      </c>
      <c r="E108" s="393" t="s">
        <v>301</v>
      </c>
      <c r="F108" s="348"/>
    </row>
    <row r="109" spans="1:14" ht="26" x14ac:dyDescent="0.35">
      <c r="A109" s="192"/>
      <c r="B109" s="23"/>
      <c r="C109" s="274"/>
      <c r="D109" s="63">
        <v>10</v>
      </c>
      <c r="E109" s="32" t="s">
        <v>573</v>
      </c>
      <c r="F109" s="23"/>
    </row>
    <row r="110" spans="1:14" x14ac:dyDescent="0.35">
      <c r="A110" s="192"/>
      <c r="B110" s="23"/>
      <c r="C110" s="274"/>
      <c r="D110" s="172">
        <v>-66</v>
      </c>
      <c r="E110" s="393" t="s">
        <v>9</v>
      </c>
      <c r="F110" s="348"/>
    </row>
    <row r="111" spans="1:14" x14ac:dyDescent="0.35">
      <c r="A111" s="192"/>
      <c r="B111" s="23"/>
      <c r="C111" s="274"/>
      <c r="D111" s="196">
        <v>-99</v>
      </c>
      <c r="E111" s="197" t="s">
        <v>6</v>
      </c>
      <c r="F111" s="32"/>
    </row>
    <row r="112" spans="1:14" x14ac:dyDescent="0.35">
      <c r="A112" s="192" t="s">
        <v>216</v>
      </c>
      <c r="B112" s="144">
        <f>B100+1</f>
        <v>24</v>
      </c>
      <c r="C112" s="216" t="s">
        <v>227</v>
      </c>
      <c r="D112" s="33">
        <v>1</v>
      </c>
      <c r="E112" s="10" t="s">
        <v>4</v>
      </c>
      <c r="F112" s="466" t="s">
        <v>110</v>
      </c>
      <c r="I112" s="210" t="s">
        <v>474</v>
      </c>
    </row>
    <row r="113" spans="1:14" x14ac:dyDescent="0.35">
      <c r="A113" s="192"/>
      <c r="B113" s="23"/>
      <c r="C113" s="274"/>
      <c r="D113" s="63">
        <v>2</v>
      </c>
      <c r="E113" s="11" t="s">
        <v>5</v>
      </c>
      <c r="F113" s="467"/>
      <c r="G113" s="68" t="s">
        <v>17</v>
      </c>
      <c r="H113" s="210" t="s">
        <v>307</v>
      </c>
      <c r="I113" s="210" t="s">
        <v>475</v>
      </c>
    </row>
    <row r="114" spans="1:14" ht="15.75" customHeight="1" x14ac:dyDescent="0.35">
      <c r="A114" s="192"/>
      <c r="B114" s="23"/>
      <c r="C114" s="274"/>
      <c r="D114" s="125">
        <v>-88</v>
      </c>
      <c r="E114" s="195" t="s">
        <v>7</v>
      </c>
      <c r="F114" s="467"/>
      <c r="H114" s="229"/>
      <c r="J114" s="229"/>
      <c r="K114" s="229"/>
      <c r="L114" s="229"/>
      <c r="M114" s="229"/>
      <c r="N114" s="229"/>
    </row>
    <row r="115" spans="1:14" x14ac:dyDescent="0.35">
      <c r="A115" s="192"/>
      <c r="B115" s="23"/>
      <c r="C115" s="274"/>
      <c r="D115" s="196">
        <v>-99</v>
      </c>
      <c r="E115" s="197" t="s">
        <v>6</v>
      </c>
      <c r="F115" s="467"/>
    </row>
    <row r="116" spans="1:14" x14ac:dyDescent="0.35">
      <c r="A116" s="191" t="s">
        <v>216</v>
      </c>
      <c r="B116" s="144">
        <f>B112</f>
        <v>24</v>
      </c>
      <c r="C116" s="380" t="s">
        <v>306</v>
      </c>
      <c r="D116" s="33">
        <v>1</v>
      </c>
      <c r="E116" s="392" t="s">
        <v>222</v>
      </c>
      <c r="F116" s="361"/>
      <c r="I116" s="210" t="s">
        <v>476</v>
      </c>
    </row>
    <row r="117" spans="1:14" ht="24" customHeight="1" x14ac:dyDescent="0.35">
      <c r="A117" s="192"/>
      <c r="B117" s="23"/>
      <c r="C117" s="362"/>
      <c r="D117" s="63">
        <f t="shared" ref="D117:D122" si="1">D116+1</f>
        <v>2</v>
      </c>
      <c r="E117" s="393" t="s">
        <v>259</v>
      </c>
      <c r="F117" s="348"/>
      <c r="H117" s="229"/>
      <c r="J117" s="229"/>
      <c r="K117" s="229"/>
      <c r="L117" s="229"/>
      <c r="M117" s="229"/>
      <c r="N117" s="229"/>
    </row>
    <row r="118" spans="1:14" x14ac:dyDescent="0.35">
      <c r="A118" s="192"/>
      <c r="B118" s="23"/>
      <c r="C118" s="362"/>
      <c r="D118" s="63">
        <f t="shared" si="1"/>
        <v>3</v>
      </c>
      <c r="E118" s="393" t="s">
        <v>221</v>
      </c>
      <c r="F118" s="348"/>
      <c r="H118" s="229"/>
      <c r="J118" s="229"/>
      <c r="K118" s="229"/>
      <c r="L118" s="229"/>
      <c r="M118" s="229"/>
      <c r="N118" s="229"/>
    </row>
    <row r="119" spans="1:14" x14ac:dyDescent="0.35">
      <c r="A119" s="192"/>
      <c r="B119" s="23"/>
      <c r="C119" s="362"/>
      <c r="D119" s="63">
        <f t="shared" si="1"/>
        <v>4</v>
      </c>
      <c r="E119" s="393" t="s">
        <v>228</v>
      </c>
      <c r="F119" s="348"/>
    </row>
    <row r="120" spans="1:14" x14ac:dyDescent="0.35">
      <c r="A120" s="192"/>
      <c r="B120" s="23"/>
      <c r="C120" s="274"/>
      <c r="D120" s="63">
        <f t="shared" si="1"/>
        <v>5</v>
      </c>
      <c r="E120" s="393" t="s">
        <v>235</v>
      </c>
      <c r="F120" s="348"/>
    </row>
    <row r="121" spans="1:14" x14ac:dyDescent="0.35">
      <c r="A121" s="192"/>
      <c r="B121" s="23"/>
      <c r="C121" s="274"/>
      <c r="D121" s="63">
        <f t="shared" si="1"/>
        <v>6</v>
      </c>
      <c r="E121" s="393" t="s">
        <v>260</v>
      </c>
      <c r="F121" s="348"/>
      <c r="H121" s="229"/>
      <c r="J121" s="229"/>
      <c r="K121" s="229"/>
      <c r="L121" s="229"/>
      <c r="M121" s="229"/>
      <c r="N121" s="229"/>
    </row>
    <row r="122" spans="1:14" ht="15" customHeight="1" x14ac:dyDescent="0.35">
      <c r="A122" s="192"/>
      <c r="B122" s="23"/>
      <c r="C122" s="274"/>
      <c r="D122" s="63">
        <f t="shared" si="1"/>
        <v>7</v>
      </c>
      <c r="E122" s="393" t="s">
        <v>303</v>
      </c>
      <c r="F122" s="348"/>
    </row>
    <row r="123" spans="1:14" x14ac:dyDescent="0.35">
      <c r="A123" s="192"/>
      <c r="B123" s="23"/>
      <c r="C123" s="274"/>
      <c r="D123" s="63">
        <v>8</v>
      </c>
      <c r="E123" s="32" t="s">
        <v>572</v>
      </c>
      <c r="F123" s="23"/>
    </row>
    <row r="124" spans="1:14" x14ac:dyDescent="0.35">
      <c r="A124" s="192"/>
      <c r="B124" s="23"/>
      <c r="C124" s="274"/>
      <c r="D124" s="63">
        <v>9</v>
      </c>
      <c r="E124" s="393" t="s">
        <v>301</v>
      </c>
      <c r="F124" s="348"/>
    </row>
    <row r="125" spans="1:14" ht="26" x14ac:dyDescent="0.35">
      <c r="A125" s="192"/>
      <c r="B125" s="23"/>
      <c r="C125" s="274"/>
      <c r="D125" s="63">
        <v>10</v>
      </c>
      <c r="E125" s="32" t="s">
        <v>573</v>
      </c>
      <c r="F125" s="23"/>
    </row>
    <row r="126" spans="1:14" x14ac:dyDescent="0.35">
      <c r="A126" s="192"/>
      <c r="B126" s="23"/>
      <c r="C126" s="274"/>
      <c r="D126" s="172">
        <v>-66</v>
      </c>
      <c r="E126" s="393" t="s">
        <v>9</v>
      </c>
      <c r="F126" s="348"/>
    </row>
    <row r="127" spans="1:14" ht="31.5" customHeight="1" x14ac:dyDescent="0.35">
      <c r="A127" s="192"/>
      <c r="B127" s="23"/>
      <c r="C127" s="32"/>
      <c r="D127" s="339">
        <v>-99</v>
      </c>
      <c r="E127" s="394" t="s">
        <v>6</v>
      </c>
      <c r="F127" s="377"/>
    </row>
    <row r="128" spans="1:14" x14ac:dyDescent="0.35">
      <c r="A128" s="178"/>
      <c r="B128" s="144">
        <f>B116</f>
        <v>24</v>
      </c>
      <c r="C128" s="361" t="s">
        <v>481</v>
      </c>
      <c r="D128" s="53">
        <v>1</v>
      </c>
      <c r="E128" s="477" t="s">
        <v>28</v>
      </c>
      <c r="F128" s="478"/>
      <c r="I128" s="210" t="s">
        <v>360</v>
      </c>
    </row>
    <row r="129" spans="1:14" x14ac:dyDescent="0.35">
      <c r="A129" s="170"/>
      <c r="B129" s="23"/>
      <c r="C129" s="348"/>
      <c r="D129" s="30">
        <f t="shared" ref="D129:D137" si="2">D128+1</f>
        <v>2</v>
      </c>
      <c r="E129" s="479" t="s">
        <v>29</v>
      </c>
      <c r="F129" s="480"/>
      <c r="H129" s="229"/>
      <c r="J129" s="229"/>
      <c r="K129" s="229"/>
      <c r="L129" s="229"/>
      <c r="M129" s="229"/>
      <c r="N129" s="229"/>
    </row>
    <row r="130" spans="1:14" x14ac:dyDescent="0.35">
      <c r="A130" s="170"/>
      <c r="B130" s="23"/>
      <c r="C130" s="348"/>
      <c r="D130" s="30">
        <f t="shared" si="2"/>
        <v>3</v>
      </c>
      <c r="E130" s="479" t="s">
        <v>30</v>
      </c>
      <c r="F130" s="480"/>
    </row>
    <row r="131" spans="1:14" x14ac:dyDescent="0.35">
      <c r="A131" s="170"/>
      <c r="B131" s="23"/>
      <c r="C131" s="348"/>
      <c r="D131" s="30">
        <f t="shared" si="2"/>
        <v>4</v>
      </c>
      <c r="E131" s="479" t="s">
        <v>31</v>
      </c>
      <c r="F131" s="480"/>
    </row>
    <row r="132" spans="1:14" x14ac:dyDescent="0.35">
      <c r="A132" s="170"/>
      <c r="B132" s="23"/>
      <c r="C132" s="348"/>
      <c r="D132" s="30">
        <f t="shared" si="2"/>
        <v>5</v>
      </c>
      <c r="E132" s="479" t="s">
        <v>32</v>
      </c>
      <c r="F132" s="480"/>
    </row>
    <row r="133" spans="1:14" ht="15" customHeight="1" x14ac:dyDescent="0.35">
      <c r="A133" s="170"/>
      <c r="B133" s="23"/>
      <c r="C133" s="348"/>
      <c r="D133" s="30">
        <f t="shared" si="2"/>
        <v>6</v>
      </c>
      <c r="E133" s="479" t="s">
        <v>33</v>
      </c>
      <c r="F133" s="480"/>
    </row>
    <row r="134" spans="1:14" ht="20.25" customHeight="1" x14ac:dyDescent="0.35">
      <c r="A134" s="170"/>
      <c r="B134" s="11"/>
      <c r="C134" s="476"/>
      <c r="D134" s="30">
        <f t="shared" si="2"/>
        <v>7</v>
      </c>
      <c r="E134" s="479" t="s">
        <v>34</v>
      </c>
      <c r="F134" s="480"/>
      <c r="G134" s="229"/>
      <c r="H134" s="229"/>
      <c r="J134" s="229"/>
      <c r="K134" s="229"/>
      <c r="L134" s="229"/>
      <c r="M134" s="229"/>
      <c r="N134" s="229"/>
    </row>
    <row r="135" spans="1:14" x14ac:dyDescent="0.35">
      <c r="A135" s="170"/>
      <c r="B135" s="11"/>
      <c r="C135" s="476"/>
      <c r="D135" s="30">
        <f t="shared" si="2"/>
        <v>8</v>
      </c>
      <c r="E135" s="479" t="s">
        <v>35</v>
      </c>
      <c r="F135" s="480"/>
    </row>
    <row r="136" spans="1:14" x14ac:dyDescent="0.35">
      <c r="A136" s="170"/>
      <c r="B136" s="11"/>
      <c r="C136" s="476"/>
      <c r="D136" s="30">
        <f t="shared" si="2"/>
        <v>9</v>
      </c>
      <c r="E136" s="479" t="s">
        <v>36</v>
      </c>
      <c r="F136" s="480"/>
    </row>
    <row r="137" spans="1:14" x14ac:dyDescent="0.35">
      <c r="A137" s="170"/>
      <c r="B137" s="11"/>
      <c r="C137" s="24"/>
      <c r="D137" s="30">
        <f t="shared" si="2"/>
        <v>10</v>
      </c>
      <c r="E137" s="479" t="s">
        <v>37</v>
      </c>
      <c r="F137" s="480"/>
      <c r="H137" s="229"/>
      <c r="J137" s="229"/>
      <c r="K137" s="229"/>
      <c r="L137" s="229"/>
      <c r="M137" s="229"/>
      <c r="N137" s="229"/>
    </row>
    <row r="138" spans="1:14" x14ac:dyDescent="0.35">
      <c r="A138" s="170"/>
      <c r="B138" s="11"/>
      <c r="C138" s="24"/>
      <c r="D138" s="30">
        <f>D137+1</f>
        <v>11</v>
      </c>
      <c r="E138" s="479" t="s">
        <v>38</v>
      </c>
      <c r="F138" s="480"/>
    </row>
    <row r="139" spans="1:14" x14ac:dyDescent="0.35">
      <c r="A139" s="170"/>
      <c r="B139" s="11"/>
      <c r="C139" s="24"/>
      <c r="D139" s="30">
        <v>12</v>
      </c>
      <c r="E139" s="481" t="s">
        <v>119</v>
      </c>
      <c r="F139" s="482"/>
    </row>
    <row r="140" spans="1:14" x14ac:dyDescent="0.35">
      <c r="A140" s="170"/>
      <c r="B140" s="11"/>
      <c r="C140" s="24"/>
      <c r="D140" s="30">
        <v>13</v>
      </c>
      <c r="E140" s="481" t="s">
        <v>120</v>
      </c>
      <c r="F140" s="482"/>
    </row>
    <row r="141" spans="1:14" x14ac:dyDescent="0.35">
      <c r="A141" s="170"/>
      <c r="B141" s="11"/>
      <c r="C141" s="24"/>
      <c r="D141" s="172">
        <v>-88</v>
      </c>
      <c r="E141" s="483" t="s">
        <v>7</v>
      </c>
      <c r="F141" s="484"/>
    </row>
    <row r="142" spans="1:14" x14ac:dyDescent="0.35">
      <c r="A142" s="192"/>
      <c r="B142" s="23"/>
      <c r="C142" s="274"/>
      <c r="D142" s="172">
        <v>-99</v>
      </c>
      <c r="E142" s="483" t="s">
        <v>6</v>
      </c>
      <c r="F142" s="484"/>
    </row>
    <row r="143" spans="1:14" ht="15" customHeight="1" x14ac:dyDescent="0.35">
      <c r="A143" s="191" t="s">
        <v>216</v>
      </c>
      <c r="B143" s="144">
        <f>B128+1</f>
        <v>25</v>
      </c>
      <c r="C143" s="380" t="s">
        <v>419</v>
      </c>
      <c r="D143" s="33">
        <v>1</v>
      </c>
      <c r="E143" s="10" t="s">
        <v>4</v>
      </c>
      <c r="F143" s="466" t="s">
        <v>110</v>
      </c>
      <c r="I143" s="210" t="s">
        <v>362</v>
      </c>
    </row>
    <row r="144" spans="1:14" x14ac:dyDescent="0.35">
      <c r="A144" s="192"/>
      <c r="B144" s="23"/>
      <c r="C144" s="362"/>
      <c r="D144" s="63">
        <v>2</v>
      </c>
      <c r="E144" s="11" t="s">
        <v>5</v>
      </c>
      <c r="F144" s="467"/>
    </row>
    <row r="145" spans="1:9" x14ac:dyDescent="0.35">
      <c r="A145" s="192"/>
      <c r="B145" s="23"/>
      <c r="C145" s="362"/>
      <c r="D145" s="125">
        <v>-88</v>
      </c>
      <c r="E145" s="195" t="s">
        <v>7</v>
      </c>
      <c r="F145" s="467"/>
    </row>
    <row r="146" spans="1:9" x14ac:dyDescent="0.35">
      <c r="A146" s="192"/>
      <c r="B146" s="23"/>
      <c r="C146" s="362"/>
      <c r="D146" s="339">
        <v>-99</v>
      </c>
      <c r="E146" s="27" t="s">
        <v>6</v>
      </c>
      <c r="F146" s="470"/>
    </row>
    <row r="147" spans="1:9" x14ac:dyDescent="0.35">
      <c r="A147" s="191" t="s">
        <v>216</v>
      </c>
      <c r="B147" s="144">
        <f>B143+1</f>
        <v>26</v>
      </c>
      <c r="C147" s="380" t="s">
        <v>261</v>
      </c>
      <c r="D147" s="33">
        <v>1</v>
      </c>
      <c r="E147" s="10" t="s">
        <v>4</v>
      </c>
      <c r="F147" s="466" t="s">
        <v>110</v>
      </c>
      <c r="I147" s="210" t="s">
        <v>361</v>
      </c>
    </row>
    <row r="148" spans="1:9" x14ac:dyDescent="0.35">
      <c r="A148" s="192"/>
      <c r="B148" s="23"/>
      <c r="C148" s="362"/>
      <c r="D148" s="63">
        <v>2</v>
      </c>
      <c r="E148" s="11" t="s">
        <v>5</v>
      </c>
      <c r="F148" s="467"/>
    </row>
    <row r="149" spans="1:9" x14ac:dyDescent="0.35">
      <c r="A149" s="192"/>
      <c r="B149" s="23"/>
      <c r="C149" s="362"/>
      <c r="D149" s="125">
        <v>-88</v>
      </c>
      <c r="E149" s="195" t="s">
        <v>7</v>
      </c>
      <c r="F149" s="467"/>
    </row>
    <row r="150" spans="1:9" x14ac:dyDescent="0.35">
      <c r="A150" s="192"/>
      <c r="B150" s="23"/>
      <c r="C150" s="362"/>
      <c r="D150" s="196">
        <v>-99</v>
      </c>
      <c r="E150" s="197" t="s">
        <v>6</v>
      </c>
      <c r="F150" s="467"/>
    </row>
    <row r="151" spans="1:9" x14ac:dyDescent="0.35">
      <c r="A151" s="191" t="s">
        <v>216</v>
      </c>
      <c r="B151" s="144">
        <f>B147+1</f>
        <v>27</v>
      </c>
      <c r="C151" s="380" t="s">
        <v>302</v>
      </c>
      <c r="D151" s="33">
        <v>1</v>
      </c>
      <c r="E151" s="10" t="s">
        <v>4</v>
      </c>
      <c r="F151" s="466" t="s">
        <v>110</v>
      </c>
      <c r="I151" s="210" t="s">
        <v>363</v>
      </c>
    </row>
    <row r="152" spans="1:9" x14ac:dyDescent="0.35">
      <c r="A152" s="192"/>
      <c r="B152" s="23"/>
      <c r="C152" s="362"/>
      <c r="D152" s="63">
        <v>2</v>
      </c>
      <c r="E152" s="11" t="s">
        <v>5</v>
      </c>
      <c r="F152" s="467"/>
    </row>
    <row r="153" spans="1:9" s="245" customFormat="1" x14ac:dyDescent="0.35">
      <c r="A153" s="192"/>
      <c r="B153" s="23"/>
      <c r="C153" s="362"/>
      <c r="D153" s="125">
        <v>-88</v>
      </c>
      <c r="E153" s="195" t="s">
        <v>7</v>
      </c>
      <c r="F153" s="467"/>
    </row>
    <row r="154" spans="1:9" x14ac:dyDescent="0.35">
      <c r="A154" s="235"/>
      <c r="B154" s="145"/>
      <c r="C154" s="363"/>
      <c r="D154" s="196">
        <v>-99</v>
      </c>
      <c r="E154" s="197" t="s">
        <v>6</v>
      </c>
      <c r="F154" s="470"/>
    </row>
    <row r="155" spans="1:9" x14ac:dyDescent="0.35">
      <c r="A155" s="236"/>
      <c r="B155" s="32"/>
      <c r="C155" s="32"/>
      <c r="D155" s="100"/>
      <c r="E155" s="100"/>
      <c r="F155" s="254"/>
    </row>
    <row r="157" spans="1:9" ht="56.25" customHeight="1" x14ac:dyDescent="0.35">
      <c r="A157" s="488" t="s">
        <v>805</v>
      </c>
      <c r="B157" s="489"/>
      <c r="C157" s="489"/>
      <c r="D157" s="489"/>
      <c r="E157" s="489"/>
      <c r="F157" s="489"/>
      <c r="G157" s="489"/>
      <c r="H157" s="490"/>
    </row>
    <row r="158" spans="1:9" x14ac:dyDescent="0.35">
      <c r="A158" s="194"/>
      <c r="B158" s="169"/>
      <c r="C158" s="132"/>
      <c r="D158" s="132"/>
      <c r="E158" s="132"/>
      <c r="F158" s="132"/>
    </row>
    <row r="159" spans="1:9" x14ac:dyDescent="0.35">
      <c r="A159" s="191" t="s">
        <v>216</v>
      </c>
      <c r="B159" s="144">
        <v>28</v>
      </c>
      <c r="C159" s="361" t="s">
        <v>528</v>
      </c>
      <c r="D159" s="33">
        <v>1</v>
      </c>
      <c r="E159" s="10" t="s">
        <v>4</v>
      </c>
      <c r="F159" s="67"/>
      <c r="I159" s="210" t="s">
        <v>364</v>
      </c>
    </row>
    <row r="160" spans="1:9" ht="58.5" customHeight="1" thickBot="1" x14ac:dyDescent="0.4">
      <c r="A160" s="192"/>
      <c r="B160" s="23"/>
      <c r="C160" s="491"/>
      <c r="D160" s="63">
        <v>2</v>
      </c>
      <c r="E160" s="11" t="s">
        <v>5</v>
      </c>
      <c r="F160" s="23" t="s">
        <v>308</v>
      </c>
    </row>
    <row r="161" spans="1:9" ht="15" thickBot="1" x14ac:dyDescent="0.4">
      <c r="A161" s="192"/>
      <c r="B161" s="23"/>
      <c r="C161" s="193" t="s">
        <v>13</v>
      </c>
      <c r="D161" s="485" t="s">
        <v>111</v>
      </c>
      <c r="E161" s="486"/>
      <c r="F161" s="487"/>
      <c r="I161" s="210" t="s">
        <v>365</v>
      </c>
    </row>
    <row r="162" spans="1:9" ht="15" thickBot="1" x14ac:dyDescent="0.4">
      <c r="A162" s="192"/>
      <c r="B162" s="23"/>
      <c r="C162" s="193" t="s">
        <v>13</v>
      </c>
      <c r="D162" s="485" t="s">
        <v>111</v>
      </c>
      <c r="E162" s="486"/>
      <c r="F162" s="487"/>
      <c r="I162" s="210" t="s">
        <v>477</v>
      </c>
    </row>
    <row r="163" spans="1:9" ht="15" thickBot="1" x14ac:dyDescent="0.4">
      <c r="A163" s="192"/>
      <c r="B163" s="23"/>
      <c r="C163" s="193" t="s">
        <v>13</v>
      </c>
      <c r="D163" s="485" t="s">
        <v>111</v>
      </c>
      <c r="E163" s="486"/>
      <c r="F163" s="487"/>
    </row>
    <row r="164" spans="1:9" ht="15" thickBot="1" x14ac:dyDescent="0.4">
      <c r="A164" s="192"/>
      <c r="B164" s="23"/>
      <c r="C164" s="193" t="s">
        <v>13</v>
      </c>
      <c r="D164" s="485" t="s">
        <v>111</v>
      </c>
      <c r="E164" s="486"/>
      <c r="F164" s="487"/>
    </row>
    <row r="165" spans="1:9" ht="15" thickBot="1" x14ac:dyDescent="0.4">
      <c r="A165" s="192"/>
      <c r="B165" s="23"/>
      <c r="C165" s="193" t="s">
        <v>13</v>
      </c>
      <c r="D165" s="485" t="s">
        <v>111</v>
      </c>
      <c r="E165" s="486"/>
      <c r="F165" s="487"/>
    </row>
    <row r="166" spans="1:9" ht="15" thickBot="1" x14ac:dyDescent="0.4">
      <c r="A166" s="235"/>
      <c r="B166" s="145"/>
      <c r="C166" s="193" t="s">
        <v>13</v>
      </c>
      <c r="D166" s="485" t="s">
        <v>111</v>
      </c>
      <c r="E166" s="486"/>
      <c r="F166" s="487"/>
    </row>
  </sheetData>
  <mergeCells count="103">
    <mergeCell ref="D161:F161"/>
    <mergeCell ref="D162:F162"/>
    <mergeCell ref="D163:F163"/>
    <mergeCell ref="D164:F164"/>
    <mergeCell ref="D165:F165"/>
    <mergeCell ref="D166:F166"/>
    <mergeCell ref="C147:C150"/>
    <mergeCell ref="F147:F150"/>
    <mergeCell ref="C151:C154"/>
    <mergeCell ref="F151:F154"/>
    <mergeCell ref="A157:H157"/>
    <mergeCell ref="C159:C160"/>
    <mergeCell ref="E139:F139"/>
    <mergeCell ref="E140:F140"/>
    <mergeCell ref="E141:F141"/>
    <mergeCell ref="E142:F142"/>
    <mergeCell ref="C143:C146"/>
    <mergeCell ref="F143:F146"/>
    <mergeCell ref="C134:C136"/>
    <mergeCell ref="E134:F134"/>
    <mergeCell ref="E135:F135"/>
    <mergeCell ref="E136:F136"/>
    <mergeCell ref="E137:F137"/>
    <mergeCell ref="E138:F138"/>
    <mergeCell ref="C128:C133"/>
    <mergeCell ref="E128:F128"/>
    <mergeCell ref="E129:F129"/>
    <mergeCell ref="E130:F130"/>
    <mergeCell ref="E131:F131"/>
    <mergeCell ref="E132:F132"/>
    <mergeCell ref="E133:F133"/>
    <mergeCell ref="E120:F120"/>
    <mergeCell ref="E121:F121"/>
    <mergeCell ref="E122:F122"/>
    <mergeCell ref="E124:F124"/>
    <mergeCell ref="E126:F126"/>
    <mergeCell ref="E127:F127"/>
    <mergeCell ref="E105:F105"/>
    <mergeCell ref="E106:F106"/>
    <mergeCell ref="E108:F108"/>
    <mergeCell ref="E110:F110"/>
    <mergeCell ref="F112:F115"/>
    <mergeCell ref="C116:C119"/>
    <mergeCell ref="E116:F116"/>
    <mergeCell ref="E117:F117"/>
    <mergeCell ref="E118:F118"/>
    <mergeCell ref="E119:F119"/>
    <mergeCell ref="C100:C102"/>
    <mergeCell ref="E100:F100"/>
    <mergeCell ref="E101:F101"/>
    <mergeCell ref="E102:F102"/>
    <mergeCell ref="E103:F103"/>
    <mergeCell ref="E104:F104"/>
    <mergeCell ref="F84:F87"/>
    <mergeCell ref="C88:C91"/>
    <mergeCell ref="F88:F91"/>
    <mergeCell ref="C92:C95"/>
    <mergeCell ref="F92:F95"/>
    <mergeCell ref="F96:F99"/>
    <mergeCell ref="C72:C73"/>
    <mergeCell ref="F72:F75"/>
    <mergeCell ref="C76:C77"/>
    <mergeCell ref="F76:F79"/>
    <mergeCell ref="C80:C81"/>
    <mergeCell ref="F80:F83"/>
    <mergeCell ref="C60:C63"/>
    <mergeCell ref="F60:F63"/>
    <mergeCell ref="C64:C66"/>
    <mergeCell ref="F64:F67"/>
    <mergeCell ref="C68:C71"/>
    <mergeCell ref="F68:F71"/>
    <mergeCell ref="C43:C44"/>
    <mergeCell ref="F43:F47"/>
    <mergeCell ref="F48:F51"/>
    <mergeCell ref="C52:C53"/>
    <mergeCell ref="F52:F55"/>
    <mergeCell ref="F56:F59"/>
    <mergeCell ref="C27:C29"/>
    <mergeCell ref="F27:F30"/>
    <mergeCell ref="F31:F34"/>
    <mergeCell ref="C35:C37"/>
    <mergeCell ref="F35:F38"/>
    <mergeCell ref="C39:C40"/>
    <mergeCell ref="F39:F42"/>
    <mergeCell ref="A1:F1"/>
    <mergeCell ref="A2:B2"/>
    <mergeCell ref="D2:F2"/>
    <mergeCell ref="G2:H2"/>
    <mergeCell ref="D3:E3"/>
    <mergeCell ref="C4:C6"/>
    <mergeCell ref="F4:F7"/>
    <mergeCell ref="G18:H18"/>
    <mergeCell ref="C19:C22"/>
    <mergeCell ref="F19:F22"/>
    <mergeCell ref="G19:H26"/>
    <mergeCell ref="C23:C26"/>
    <mergeCell ref="F23:F26"/>
    <mergeCell ref="C8:C10"/>
    <mergeCell ref="F8:F11"/>
    <mergeCell ref="C12:C14"/>
    <mergeCell ref="F12:F15"/>
    <mergeCell ref="A17:F17"/>
    <mergeCell ref="C18:E18"/>
  </mergeCells>
  <pageMargins left="0.7" right="0.7" top="0.75" bottom="0.75" header="0.3" footer="0.3"/>
  <pageSetup orientation="portrait" horizontalDpi="1200" verticalDpi="1200" r:id="rId1"/>
  <headerFooter>
    <oddHeader xml:space="preserve">&amp;C&amp;"-,Bold"D. Non - Food Expenditure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1"/>
  <sheetViews>
    <sheetView view="pageLayout" zoomScaleNormal="100" workbookViewId="0">
      <selection activeCell="C9" sqref="C9:C12"/>
    </sheetView>
  </sheetViews>
  <sheetFormatPr defaultRowHeight="14.5" x14ac:dyDescent="0.35"/>
  <cols>
    <col min="1" max="1" width="2.26953125" style="34" bestFit="1" customWidth="1"/>
    <col min="2" max="2" width="3" bestFit="1" customWidth="1"/>
    <col min="3" max="3" width="37.1796875" customWidth="1"/>
    <col min="5" max="5" width="18.453125" customWidth="1"/>
    <col min="6" max="6" width="2.54296875" customWidth="1"/>
    <col min="7" max="7" width="11.54296875" customWidth="1"/>
    <col min="8" max="8" width="4.1796875" style="7" hidden="1" customWidth="1"/>
    <col min="9" max="9" width="0" hidden="1" customWidth="1"/>
  </cols>
  <sheetData>
    <row r="1" spans="1:13" x14ac:dyDescent="0.35">
      <c r="A1" s="430" t="s">
        <v>368</v>
      </c>
      <c r="B1" s="431"/>
      <c r="C1" s="431"/>
      <c r="D1" s="431"/>
      <c r="E1" s="431"/>
      <c r="F1" s="431"/>
      <c r="G1" s="498"/>
    </row>
    <row r="2" spans="1:13" ht="40.5" customHeight="1" x14ac:dyDescent="0.35">
      <c r="A2" s="432"/>
      <c r="B2" s="433"/>
      <c r="C2" s="433"/>
      <c r="D2" s="433"/>
      <c r="E2" s="433"/>
      <c r="F2" s="433"/>
      <c r="G2" s="499"/>
    </row>
    <row r="3" spans="1:13" ht="20.25" customHeight="1" x14ac:dyDescent="0.35"/>
    <row r="4" spans="1:13" x14ac:dyDescent="0.35">
      <c r="A4" s="500" t="s">
        <v>0</v>
      </c>
      <c r="B4" s="501"/>
      <c r="C4" s="114" t="s">
        <v>57</v>
      </c>
      <c r="D4" s="115"/>
      <c r="E4" s="323" t="s">
        <v>58</v>
      </c>
      <c r="F4" s="502" t="s">
        <v>59</v>
      </c>
      <c r="G4" s="500"/>
      <c r="H4" s="249"/>
      <c r="I4" s="210"/>
    </row>
    <row r="5" spans="1:13" x14ac:dyDescent="0.35">
      <c r="A5" s="381" t="s">
        <v>366</v>
      </c>
      <c r="B5" s="351">
        <v>4</v>
      </c>
      <c r="C5" s="380" t="s">
        <v>114</v>
      </c>
      <c r="D5" s="8">
        <v>1</v>
      </c>
      <c r="E5" s="277" t="s">
        <v>4</v>
      </c>
      <c r="F5" s="220"/>
      <c r="G5" s="283" t="s">
        <v>540</v>
      </c>
      <c r="H5" s="249" t="s">
        <v>445</v>
      </c>
      <c r="I5" s="210"/>
      <c r="J5" s="116"/>
      <c r="K5" s="116"/>
      <c r="L5" s="116"/>
      <c r="M5" s="116"/>
    </row>
    <row r="6" spans="1:13" x14ac:dyDescent="0.35">
      <c r="A6" s="382"/>
      <c r="B6" s="383"/>
      <c r="C6" s="362"/>
      <c r="D6" s="12">
        <v>2</v>
      </c>
      <c r="E6" s="32" t="s">
        <v>5</v>
      </c>
      <c r="F6" s="94"/>
      <c r="G6" s="153"/>
      <c r="H6" s="249"/>
      <c r="I6" s="210"/>
      <c r="J6" s="116"/>
      <c r="K6" s="116"/>
      <c r="L6" s="116"/>
      <c r="M6" s="116"/>
    </row>
    <row r="7" spans="1:13" x14ac:dyDescent="0.35">
      <c r="A7" s="42"/>
      <c r="B7" s="11"/>
      <c r="C7" s="97"/>
      <c r="D7" s="12">
        <v>-88</v>
      </c>
      <c r="E7" s="32" t="s">
        <v>7</v>
      </c>
      <c r="F7" s="87"/>
      <c r="G7" s="153"/>
      <c r="H7" s="249"/>
      <c r="I7" s="210"/>
      <c r="J7" s="215"/>
      <c r="K7" s="215"/>
      <c r="L7" s="215"/>
      <c r="M7" s="215"/>
    </row>
    <row r="8" spans="1:13" x14ac:dyDescent="0.35">
      <c r="A8" s="43"/>
      <c r="B8" s="15"/>
      <c r="C8" s="98"/>
      <c r="D8" s="9">
        <v>-99</v>
      </c>
      <c r="E8" s="283" t="s">
        <v>20</v>
      </c>
      <c r="F8" s="89"/>
      <c r="G8" s="154"/>
      <c r="H8" s="249"/>
      <c r="I8" s="210"/>
      <c r="J8" s="116"/>
      <c r="K8" s="116"/>
      <c r="L8" s="116"/>
      <c r="M8" s="116"/>
    </row>
    <row r="9" spans="1:13" x14ac:dyDescent="0.35">
      <c r="A9" s="381" t="s">
        <v>366</v>
      </c>
      <c r="B9" s="351">
        <f>B24+1</f>
        <v>6</v>
      </c>
      <c r="C9" s="380" t="s">
        <v>262</v>
      </c>
      <c r="D9" s="8">
        <v>1</v>
      </c>
      <c r="E9" s="144" t="s">
        <v>4</v>
      </c>
      <c r="F9" s="86"/>
      <c r="G9" s="119" t="s">
        <v>541</v>
      </c>
      <c r="H9" s="249"/>
      <c r="I9" s="210"/>
      <c r="J9" s="116"/>
      <c r="K9" s="116"/>
      <c r="L9" s="116"/>
      <c r="M9" s="116"/>
    </row>
    <row r="10" spans="1:13" ht="38.25" customHeight="1" x14ac:dyDescent="0.35">
      <c r="A10" s="382"/>
      <c r="B10" s="383"/>
      <c r="C10" s="362"/>
      <c r="D10" s="12">
        <v>2</v>
      </c>
      <c r="E10" s="23" t="s">
        <v>5</v>
      </c>
      <c r="F10" s="94"/>
      <c r="G10" s="143"/>
      <c r="H10" s="249" t="s">
        <v>369</v>
      </c>
      <c r="I10" s="210"/>
      <c r="J10" s="116"/>
      <c r="K10" s="116"/>
      <c r="L10" s="116"/>
      <c r="M10" s="116"/>
    </row>
    <row r="11" spans="1:13" ht="15" customHeight="1" x14ac:dyDescent="0.35">
      <c r="A11" s="42"/>
      <c r="B11" s="11"/>
      <c r="C11" s="362"/>
      <c r="D11" s="12">
        <v>-88</v>
      </c>
      <c r="E11" s="23" t="s">
        <v>7</v>
      </c>
      <c r="F11" s="88"/>
      <c r="G11" s="153"/>
      <c r="H11" s="249" t="s">
        <v>370</v>
      </c>
      <c r="I11" s="210"/>
    </row>
    <row r="12" spans="1:13" ht="15" customHeight="1" x14ac:dyDescent="0.35">
      <c r="A12" s="43"/>
      <c r="B12" s="15"/>
      <c r="C12" s="363"/>
      <c r="D12" s="9">
        <v>-99</v>
      </c>
      <c r="E12" s="145" t="s">
        <v>20</v>
      </c>
      <c r="F12" s="90"/>
      <c r="G12" s="154"/>
      <c r="H12" s="249" t="s">
        <v>371</v>
      </c>
      <c r="I12" s="210"/>
    </row>
    <row r="13" spans="1:13" ht="15" customHeight="1" x14ac:dyDescent="0.35">
      <c r="A13" s="381" t="s">
        <v>366</v>
      </c>
      <c r="B13" s="351">
        <v>7</v>
      </c>
      <c r="C13" s="380" t="s">
        <v>762</v>
      </c>
      <c r="D13" s="8">
        <v>1</v>
      </c>
      <c r="E13" s="277" t="s">
        <v>4</v>
      </c>
      <c r="F13" s="210"/>
      <c r="G13" s="119"/>
      <c r="H13" s="249"/>
      <c r="I13" s="210"/>
    </row>
    <row r="14" spans="1:13" ht="15" customHeight="1" x14ac:dyDescent="0.35">
      <c r="A14" s="382"/>
      <c r="B14" s="383"/>
      <c r="C14" s="362"/>
      <c r="D14" s="12"/>
      <c r="E14" s="32"/>
      <c r="F14" s="94"/>
      <c r="G14" s="153"/>
      <c r="H14" s="249"/>
      <c r="I14" s="210"/>
    </row>
    <row r="15" spans="1:13" ht="15" customHeight="1" x14ac:dyDescent="0.35">
      <c r="A15" s="382"/>
      <c r="B15" s="383"/>
      <c r="C15" s="362"/>
      <c r="D15" s="12">
        <v>2</v>
      </c>
      <c r="E15" s="32" t="s">
        <v>5</v>
      </c>
      <c r="F15" s="340" t="s">
        <v>158</v>
      </c>
      <c r="G15" s="153" t="s">
        <v>763</v>
      </c>
      <c r="H15" s="249"/>
      <c r="I15" s="210"/>
    </row>
    <row r="16" spans="1:13" x14ac:dyDescent="0.35">
      <c r="A16" s="42"/>
      <c r="B16" s="11"/>
      <c r="C16" s="362"/>
      <c r="D16" s="12">
        <v>-88</v>
      </c>
      <c r="E16" s="32" t="s">
        <v>7</v>
      </c>
      <c r="F16" s="87"/>
      <c r="G16" s="153"/>
      <c r="H16" s="249"/>
      <c r="I16" s="210" t="s">
        <v>444</v>
      </c>
    </row>
    <row r="17" spans="1:13" ht="21" customHeight="1" x14ac:dyDescent="0.35">
      <c r="A17" s="43"/>
      <c r="B17" s="15"/>
      <c r="C17" s="363"/>
      <c r="D17" s="9">
        <v>-99</v>
      </c>
      <c r="E17" s="283" t="s">
        <v>20</v>
      </c>
      <c r="F17" s="89"/>
      <c r="G17" s="154"/>
      <c r="H17" s="249"/>
      <c r="I17" s="210"/>
    </row>
    <row r="18" spans="1:13" ht="48.75" customHeight="1" x14ac:dyDescent="0.35">
      <c r="A18" s="42" t="s">
        <v>366</v>
      </c>
      <c r="B18" s="4">
        <v>1</v>
      </c>
      <c r="C18" s="278" t="s">
        <v>367</v>
      </c>
      <c r="D18" s="492" t="s">
        <v>482</v>
      </c>
      <c r="E18" s="493"/>
      <c r="F18" s="155"/>
      <c r="G18" s="156"/>
      <c r="H18" s="249"/>
      <c r="I18" s="210"/>
    </row>
    <row r="19" spans="1:13" ht="36.75" customHeight="1" x14ac:dyDescent="0.35">
      <c r="A19" s="8" t="s">
        <v>366</v>
      </c>
      <c r="B19" s="326">
        <v>2</v>
      </c>
      <c r="C19" s="66" t="s">
        <v>287</v>
      </c>
      <c r="D19" s="492" t="s">
        <v>486</v>
      </c>
      <c r="E19" s="493"/>
      <c r="F19" s="496" t="s">
        <v>815</v>
      </c>
      <c r="G19" s="497"/>
      <c r="H19" s="249"/>
      <c r="I19" s="210"/>
    </row>
    <row r="20" spans="1:13" ht="15" customHeight="1" x14ac:dyDescent="0.35">
      <c r="A20" s="381" t="s">
        <v>366</v>
      </c>
      <c r="B20" s="351">
        <v>3</v>
      </c>
      <c r="C20" s="380" t="s">
        <v>434</v>
      </c>
      <c r="D20" s="8">
        <v>1</v>
      </c>
      <c r="E20" s="277" t="s">
        <v>483</v>
      </c>
      <c r="F20" s="220"/>
      <c r="G20" s="250"/>
      <c r="H20" s="249" t="s">
        <v>372</v>
      </c>
      <c r="I20" s="210"/>
    </row>
    <row r="21" spans="1:13" ht="15" customHeight="1" x14ac:dyDescent="0.35">
      <c r="A21" s="382"/>
      <c r="B21" s="383"/>
      <c r="C21" s="362"/>
      <c r="D21" s="12">
        <v>2</v>
      </c>
      <c r="E21" s="32" t="s">
        <v>484</v>
      </c>
      <c r="F21" s="94" t="s">
        <v>158</v>
      </c>
      <c r="G21" s="153" t="s">
        <v>435</v>
      </c>
      <c r="H21" s="249"/>
      <c r="I21" s="210"/>
    </row>
    <row r="22" spans="1:13" ht="15" customHeight="1" x14ac:dyDescent="0.35">
      <c r="A22" s="42"/>
      <c r="B22" s="11"/>
      <c r="C22" s="362"/>
      <c r="D22" s="12">
        <v>-88</v>
      </c>
      <c r="E22" s="32" t="s">
        <v>7</v>
      </c>
      <c r="F22" s="87"/>
      <c r="G22" s="153"/>
      <c r="H22" s="249"/>
      <c r="I22" s="210"/>
    </row>
    <row r="23" spans="1:13" ht="24" customHeight="1" x14ac:dyDescent="0.35">
      <c r="A23" s="43"/>
      <c r="B23" s="15"/>
      <c r="C23" s="363"/>
      <c r="D23" s="9">
        <v>-99</v>
      </c>
      <c r="E23" s="283" t="s">
        <v>20</v>
      </c>
      <c r="F23" s="89"/>
      <c r="G23" s="154"/>
      <c r="H23" s="249"/>
      <c r="I23" s="210"/>
    </row>
    <row r="24" spans="1:13" ht="33" customHeight="1" x14ac:dyDescent="0.35">
      <c r="A24" s="381" t="s">
        <v>366</v>
      </c>
      <c r="B24" s="351">
        <f>B5+1</f>
        <v>5</v>
      </c>
      <c r="C24" s="380" t="s">
        <v>814</v>
      </c>
      <c r="D24" s="8">
        <v>1</v>
      </c>
      <c r="E24" s="277" t="s">
        <v>4</v>
      </c>
      <c r="F24" s="85"/>
      <c r="G24" s="119"/>
      <c r="H24" s="249" t="s">
        <v>373</v>
      </c>
      <c r="I24" s="210"/>
    </row>
    <row r="25" spans="1:13" ht="33" customHeight="1" x14ac:dyDescent="0.35">
      <c r="A25" s="382"/>
      <c r="B25" s="383"/>
      <c r="C25" s="362"/>
      <c r="D25" s="12">
        <v>2</v>
      </c>
      <c r="E25" s="32" t="s">
        <v>5</v>
      </c>
      <c r="F25" s="94"/>
      <c r="G25" s="143"/>
      <c r="H25" s="249"/>
      <c r="I25" s="210"/>
    </row>
    <row r="26" spans="1:13" ht="33" customHeight="1" x14ac:dyDescent="0.35">
      <c r="A26" s="42"/>
      <c r="B26" s="11"/>
      <c r="C26" s="362"/>
      <c r="D26" s="12">
        <v>-88</v>
      </c>
      <c r="E26" s="32" t="s">
        <v>7</v>
      </c>
      <c r="F26" s="87"/>
      <c r="G26" s="153"/>
      <c r="H26" s="249"/>
      <c r="I26" s="210"/>
      <c r="J26" s="116"/>
      <c r="K26" s="116"/>
      <c r="L26" s="116"/>
      <c r="M26" s="116"/>
    </row>
    <row r="27" spans="1:13" ht="17.25" customHeight="1" x14ac:dyDescent="0.35">
      <c r="A27" s="43"/>
      <c r="B27" s="15"/>
      <c r="C27" s="363"/>
      <c r="D27" s="9">
        <v>-99</v>
      </c>
      <c r="E27" s="283" t="s">
        <v>20</v>
      </c>
      <c r="F27" s="89"/>
      <c r="G27" s="154"/>
      <c r="H27" s="249"/>
      <c r="I27" s="210"/>
      <c r="J27" s="116"/>
      <c r="K27" s="116"/>
      <c r="L27" s="116"/>
      <c r="M27" s="116"/>
    </row>
    <row r="28" spans="1:13" ht="15" customHeight="1" x14ac:dyDescent="0.35">
      <c r="A28" s="381" t="s">
        <v>366</v>
      </c>
      <c r="B28" s="351">
        <v>11</v>
      </c>
      <c r="C28" s="380" t="s">
        <v>374</v>
      </c>
      <c r="D28" s="8">
        <v>1</v>
      </c>
      <c r="E28" s="144" t="s">
        <v>4</v>
      </c>
      <c r="F28" s="88"/>
      <c r="G28" s="153"/>
      <c r="H28" s="251" t="s">
        <v>446</v>
      </c>
      <c r="I28" s="210"/>
    </row>
    <row r="29" spans="1:13" x14ac:dyDescent="0.35">
      <c r="A29" s="382"/>
      <c r="B29" s="383"/>
      <c r="C29" s="362"/>
      <c r="D29" s="12">
        <v>2</v>
      </c>
      <c r="E29" s="23" t="s">
        <v>5</v>
      </c>
      <c r="F29" s="94"/>
      <c r="G29" s="143"/>
      <c r="H29" s="249"/>
      <c r="I29" s="210"/>
    </row>
    <row r="30" spans="1:13" x14ac:dyDescent="0.35">
      <c r="A30" s="42"/>
      <c r="B30" s="11"/>
      <c r="C30" s="97"/>
      <c r="D30" s="12">
        <v>-88</v>
      </c>
      <c r="E30" s="23" t="s">
        <v>7</v>
      </c>
      <c r="F30" s="88"/>
      <c r="G30" s="153"/>
      <c r="H30" s="249"/>
      <c r="I30" s="210"/>
    </row>
    <row r="31" spans="1:13" ht="15" customHeight="1" x14ac:dyDescent="0.35">
      <c r="A31" s="43"/>
      <c r="B31" s="15"/>
      <c r="C31" s="98"/>
      <c r="D31" s="9">
        <v>-99</v>
      </c>
      <c r="E31" s="145" t="s">
        <v>20</v>
      </c>
      <c r="F31" s="90"/>
      <c r="G31" s="154"/>
      <c r="H31" s="249"/>
      <c r="I31" s="210"/>
    </row>
    <row r="32" spans="1:13" ht="36.75" customHeight="1" x14ac:dyDescent="0.35">
      <c r="A32" s="146" t="s">
        <v>366</v>
      </c>
      <c r="B32" s="18">
        <v>12</v>
      </c>
      <c r="C32" s="17" t="s">
        <v>511</v>
      </c>
      <c r="D32" s="494" t="s">
        <v>485</v>
      </c>
      <c r="E32" s="495"/>
      <c r="F32" s="208"/>
      <c r="G32" s="156"/>
      <c r="H32" s="249" t="s">
        <v>447</v>
      </c>
      <c r="I32" s="210"/>
    </row>
    <row r="34" ht="45" customHeight="1" x14ac:dyDescent="0.35"/>
    <row r="41" ht="21.75" customHeight="1" x14ac:dyDescent="0.35"/>
  </sheetData>
  <mergeCells count="25">
    <mergeCell ref="A1:G2"/>
    <mergeCell ref="A4:B4"/>
    <mergeCell ref="F4:G4"/>
    <mergeCell ref="A5:A6"/>
    <mergeCell ref="B5:B6"/>
    <mergeCell ref="C5:C6"/>
    <mergeCell ref="D32:E32"/>
    <mergeCell ref="A28:A29"/>
    <mergeCell ref="B28:B29"/>
    <mergeCell ref="C28:C29"/>
    <mergeCell ref="F19:G19"/>
    <mergeCell ref="A24:A25"/>
    <mergeCell ref="B24:B25"/>
    <mergeCell ref="C24:C27"/>
    <mergeCell ref="B9:B10"/>
    <mergeCell ref="C20:C23"/>
    <mergeCell ref="D19:E19"/>
    <mergeCell ref="A20:A21"/>
    <mergeCell ref="B20:B21"/>
    <mergeCell ref="D18:E18"/>
    <mergeCell ref="A13:A15"/>
    <mergeCell ref="B13:B15"/>
    <mergeCell ref="C13:C17"/>
    <mergeCell ref="C9:C12"/>
    <mergeCell ref="A9:A10"/>
  </mergeCells>
  <pageMargins left="0.7" right="0.7" top="0.75" bottom="0.75" header="0.3" footer="0.3"/>
  <pageSetup orientation="portrait" r:id="rId1"/>
  <headerFooter>
    <oddHeader>&amp;C&amp;"-,Bold"G. INCOME</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8"/>
  <sheetViews>
    <sheetView view="pageLayout" zoomScaleNormal="100" workbookViewId="0">
      <selection activeCell="A2" sqref="A2:G2"/>
    </sheetView>
  </sheetViews>
  <sheetFormatPr defaultColWidth="9.1796875" defaultRowHeight="14.5" x14ac:dyDescent="0.35"/>
  <cols>
    <col min="1" max="1" width="2.54296875" style="4" bestFit="1" customWidth="1"/>
    <col min="2" max="2" width="3.1796875" style="4" bestFit="1" customWidth="1"/>
    <col min="3" max="3" width="41.453125" style="4" customWidth="1"/>
    <col min="4" max="4" width="4.1796875" style="253" customWidth="1"/>
    <col min="5" max="5" width="18.453125" style="252" customWidth="1"/>
    <col min="6" max="6" width="3.81640625" style="4" customWidth="1"/>
    <col min="7" max="7" width="8.54296875" style="4" customWidth="1"/>
    <col min="8" max="8" width="0" style="4" hidden="1" customWidth="1"/>
    <col min="9" max="16384" width="9.1796875" style="4"/>
  </cols>
  <sheetData>
    <row r="1" spans="1:8" ht="18" thickBot="1" x14ac:dyDescent="0.4">
      <c r="C1" s="515" t="s">
        <v>487</v>
      </c>
      <c r="D1" s="516"/>
    </row>
    <row r="2" spans="1:8" ht="42" customHeight="1" thickBot="1" x14ac:dyDescent="0.4">
      <c r="A2" s="512" t="s">
        <v>566</v>
      </c>
      <c r="B2" s="513"/>
      <c r="C2" s="513"/>
      <c r="D2" s="513"/>
      <c r="E2" s="513"/>
      <c r="F2" s="513"/>
      <c r="G2" s="514"/>
    </row>
    <row r="3" spans="1:8" ht="10.5" customHeight="1" x14ac:dyDescent="0.35">
      <c r="E3" s="254"/>
      <c r="F3" s="255"/>
      <c r="G3" s="255"/>
    </row>
    <row r="4" spans="1:8" ht="24.75" customHeight="1" x14ac:dyDescent="0.35">
      <c r="A4" s="517" t="s">
        <v>193</v>
      </c>
      <c r="B4" s="518"/>
      <c r="C4" s="256" t="s">
        <v>194</v>
      </c>
      <c r="D4" s="519" t="s">
        <v>210</v>
      </c>
      <c r="E4" s="519"/>
      <c r="F4" s="521" t="s">
        <v>195</v>
      </c>
      <c r="G4" s="521"/>
    </row>
    <row r="5" spans="1:8" ht="13" x14ac:dyDescent="0.35">
      <c r="A5" s="510" t="s">
        <v>54</v>
      </c>
      <c r="B5" s="361">
        <v>1</v>
      </c>
      <c r="C5" s="380" t="s">
        <v>112</v>
      </c>
      <c r="D5" s="123">
        <v>1</v>
      </c>
      <c r="E5" s="277" t="s">
        <v>4</v>
      </c>
      <c r="F5" s="178"/>
      <c r="G5" s="10"/>
      <c r="H5" s="4" t="s">
        <v>392</v>
      </c>
    </row>
    <row r="6" spans="1:8" ht="13" x14ac:dyDescent="0.35">
      <c r="A6" s="509"/>
      <c r="B6" s="348"/>
      <c r="C6" s="362"/>
      <c r="D6" s="124">
        <v>2</v>
      </c>
      <c r="E6" s="32" t="s">
        <v>5</v>
      </c>
      <c r="F6" s="92" t="s">
        <v>158</v>
      </c>
      <c r="G6" s="143" t="s">
        <v>488</v>
      </c>
      <c r="H6" s="4" t="s">
        <v>393</v>
      </c>
    </row>
    <row r="7" spans="1:8" ht="13" x14ac:dyDescent="0.35">
      <c r="A7" s="509"/>
      <c r="B7" s="348"/>
      <c r="C7" s="362"/>
      <c r="D7" s="124">
        <v>-88</v>
      </c>
      <c r="E7" s="32" t="s">
        <v>7</v>
      </c>
      <c r="F7" s="170"/>
      <c r="G7" s="11"/>
    </row>
    <row r="8" spans="1:8" ht="13" x14ac:dyDescent="0.35">
      <c r="A8" s="509"/>
      <c r="B8" s="348"/>
      <c r="C8" s="363"/>
      <c r="D8" s="163">
        <v>-99</v>
      </c>
      <c r="E8" s="283" t="s">
        <v>20</v>
      </c>
      <c r="F8" s="170"/>
      <c r="G8" s="11"/>
    </row>
    <row r="9" spans="1:8" ht="44.25" customHeight="1" x14ac:dyDescent="0.35">
      <c r="A9" s="509"/>
      <c r="B9" s="348"/>
      <c r="C9" s="278" t="s">
        <v>387</v>
      </c>
      <c r="D9" s="520" t="s">
        <v>48</v>
      </c>
      <c r="E9" s="505"/>
      <c r="F9" s="170"/>
      <c r="G9" s="11"/>
    </row>
    <row r="10" spans="1:8" ht="13" hidden="1" x14ac:dyDescent="0.35">
      <c r="A10" s="87"/>
      <c r="B10" s="23"/>
      <c r="C10" s="257"/>
      <c r="D10" s="258"/>
      <c r="E10" s="259"/>
      <c r="F10" s="170"/>
      <c r="G10" s="11"/>
    </row>
    <row r="11" spans="1:8" ht="13" hidden="1" x14ac:dyDescent="0.35">
      <c r="A11" s="87"/>
      <c r="B11" s="23"/>
      <c r="C11" s="257"/>
      <c r="D11" s="260"/>
      <c r="E11" s="259"/>
      <c r="F11" s="170"/>
      <c r="G11" s="11"/>
    </row>
    <row r="12" spans="1:8" ht="13" hidden="1" x14ac:dyDescent="0.35">
      <c r="A12" s="87"/>
      <c r="B12" s="23"/>
      <c r="C12" s="257"/>
      <c r="D12" s="261"/>
      <c r="E12" s="259"/>
      <c r="F12" s="170"/>
      <c r="G12" s="11"/>
    </row>
    <row r="13" spans="1:8" ht="13" x14ac:dyDescent="0.35">
      <c r="A13" s="87"/>
      <c r="B13" s="23"/>
      <c r="C13" s="380" t="s">
        <v>385</v>
      </c>
      <c r="D13" s="123">
        <v>1</v>
      </c>
      <c r="E13" s="276" t="s">
        <v>382</v>
      </c>
      <c r="F13" s="393"/>
      <c r="G13" s="348"/>
      <c r="H13" s="4" t="s">
        <v>394</v>
      </c>
    </row>
    <row r="14" spans="1:8" ht="13" x14ac:dyDescent="0.35">
      <c r="A14" s="87"/>
      <c r="B14" s="23"/>
      <c r="C14" s="362"/>
      <c r="D14" s="124">
        <f>D13+1</f>
        <v>2</v>
      </c>
      <c r="E14" s="278" t="s">
        <v>383</v>
      </c>
      <c r="F14" s="393"/>
      <c r="G14" s="348"/>
    </row>
    <row r="15" spans="1:8" ht="13" x14ac:dyDescent="0.35">
      <c r="A15" s="87"/>
      <c r="B15" s="23"/>
      <c r="C15" s="362"/>
      <c r="D15" s="124">
        <f>D14+1</f>
        <v>3</v>
      </c>
      <c r="E15" s="278" t="s">
        <v>512</v>
      </c>
      <c r="G15" s="11"/>
    </row>
    <row r="16" spans="1:8" ht="13" x14ac:dyDescent="0.35">
      <c r="A16" s="87"/>
      <c r="B16" s="23"/>
      <c r="C16" s="362"/>
      <c r="D16" s="124">
        <f>D15+1</f>
        <v>4</v>
      </c>
      <c r="E16" s="278" t="s">
        <v>309</v>
      </c>
      <c r="G16" s="11"/>
    </row>
    <row r="17" spans="1:8" ht="13" x14ac:dyDescent="0.35">
      <c r="A17" s="87"/>
      <c r="B17" s="23"/>
      <c r="C17" s="278"/>
      <c r="D17" s="124">
        <f>D16+1</f>
        <v>5</v>
      </c>
      <c r="E17" s="278" t="s">
        <v>535</v>
      </c>
      <c r="G17" s="11"/>
    </row>
    <row r="18" spans="1:8" ht="13" x14ac:dyDescent="0.35">
      <c r="A18" s="87"/>
      <c r="B18" s="23"/>
      <c r="C18" s="24"/>
      <c r="D18" s="124">
        <v>-88</v>
      </c>
      <c r="E18" s="278" t="s">
        <v>7</v>
      </c>
      <c r="G18" s="11"/>
    </row>
    <row r="19" spans="1:8" ht="13" x14ac:dyDescent="0.35">
      <c r="A19" s="87"/>
      <c r="B19" s="23"/>
      <c r="C19" s="212"/>
      <c r="D19" s="124">
        <v>-99</v>
      </c>
      <c r="E19" s="285" t="s">
        <v>20</v>
      </c>
      <c r="G19" s="11"/>
    </row>
    <row r="20" spans="1:8" ht="36.75" customHeight="1" thickBot="1" x14ac:dyDescent="0.4">
      <c r="A20" s="155"/>
      <c r="B20" s="218"/>
      <c r="C20" s="321" t="s">
        <v>386</v>
      </c>
      <c r="D20" s="366" t="s">
        <v>48</v>
      </c>
      <c r="E20" s="522"/>
      <c r="F20" s="347"/>
      <c r="G20" s="348"/>
      <c r="H20" s="4" t="s">
        <v>395</v>
      </c>
    </row>
    <row r="21" spans="1:8" ht="13" x14ac:dyDescent="0.35">
      <c r="A21" s="510" t="s">
        <v>54</v>
      </c>
      <c r="B21" s="511">
        <f>B5+1</f>
        <v>2</v>
      </c>
      <c r="C21" s="380" t="s">
        <v>113</v>
      </c>
      <c r="D21" s="123">
        <v>1</v>
      </c>
      <c r="E21" s="277" t="s">
        <v>4</v>
      </c>
      <c r="F21" s="75"/>
      <c r="G21" s="72"/>
      <c r="H21" s="4" t="s">
        <v>396</v>
      </c>
    </row>
    <row r="22" spans="1:8" ht="13" x14ac:dyDescent="0.35">
      <c r="A22" s="509"/>
      <c r="B22" s="348"/>
      <c r="C22" s="362"/>
      <c r="D22" s="124">
        <v>2</v>
      </c>
      <c r="E22" s="32" t="s">
        <v>5</v>
      </c>
      <c r="F22" s="92" t="s">
        <v>158</v>
      </c>
      <c r="G22" s="143" t="s">
        <v>489</v>
      </c>
    </row>
    <row r="23" spans="1:8" ht="13" x14ac:dyDescent="0.35">
      <c r="A23" s="509"/>
      <c r="B23" s="348"/>
      <c r="C23" s="362"/>
      <c r="D23" s="124">
        <v>-88</v>
      </c>
      <c r="E23" s="32" t="s">
        <v>7</v>
      </c>
      <c r="F23" s="170"/>
      <c r="G23" s="11"/>
    </row>
    <row r="24" spans="1:8" ht="13" x14ac:dyDescent="0.35">
      <c r="A24" s="509"/>
      <c r="B24" s="348"/>
      <c r="C24" s="363"/>
      <c r="D24" s="163">
        <v>-99</v>
      </c>
      <c r="E24" s="283" t="s">
        <v>20</v>
      </c>
      <c r="F24" s="170"/>
      <c r="G24" s="11"/>
    </row>
    <row r="25" spans="1:8" ht="13" x14ac:dyDescent="0.35">
      <c r="A25" s="509"/>
      <c r="B25" s="348"/>
      <c r="C25" s="380" t="s">
        <v>492</v>
      </c>
      <c r="D25" s="123">
        <v>1</v>
      </c>
      <c r="E25" s="277" t="s">
        <v>4</v>
      </c>
      <c r="F25" s="92" t="s">
        <v>158</v>
      </c>
      <c r="G25" s="143" t="s">
        <v>489</v>
      </c>
      <c r="H25" s="4" t="s">
        <v>397</v>
      </c>
    </row>
    <row r="26" spans="1:8" ht="13" x14ac:dyDescent="0.35">
      <c r="A26" s="509"/>
      <c r="B26" s="348"/>
      <c r="C26" s="362"/>
      <c r="D26" s="124">
        <v>2</v>
      </c>
      <c r="E26" s="32" t="s">
        <v>5</v>
      </c>
      <c r="F26" s="170"/>
      <c r="G26" s="11"/>
    </row>
    <row r="27" spans="1:8" ht="13" x14ac:dyDescent="0.35">
      <c r="A27" s="509"/>
      <c r="B27" s="348"/>
      <c r="C27" s="362"/>
      <c r="D27" s="124">
        <v>-88</v>
      </c>
      <c r="E27" s="32" t="s">
        <v>7</v>
      </c>
      <c r="F27" s="170"/>
      <c r="G27" s="11"/>
    </row>
    <row r="28" spans="1:8" ht="13" x14ac:dyDescent="0.35">
      <c r="A28" s="509"/>
      <c r="B28" s="348"/>
      <c r="D28" s="124">
        <v>-99</v>
      </c>
      <c r="E28" s="32" t="s">
        <v>20</v>
      </c>
      <c r="F28" s="170"/>
      <c r="G28" s="11"/>
    </row>
    <row r="29" spans="1:8" ht="38.25" customHeight="1" x14ac:dyDescent="0.35">
      <c r="A29" s="155"/>
      <c r="B29" s="322"/>
      <c r="C29" s="17" t="s">
        <v>816</v>
      </c>
      <c r="D29" s="366" t="s">
        <v>48</v>
      </c>
      <c r="E29" s="503"/>
      <c r="F29" s="179"/>
      <c r="G29" s="11"/>
      <c r="H29" s="4" t="s">
        <v>398</v>
      </c>
    </row>
    <row r="30" spans="1:8" ht="13" x14ac:dyDescent="0.35">
      <c r="A30" s="509" t="s">
        <v>54</v>
      </c>
      <c r="B30" s="348">
        <v>3</v>
      </c>
      <c r="C30" s="362" t="s">
        <v>801</v>
      </c>
      <c r="D30" s="161">
        <v>1</v>
      </c>
      <c r="E30" s="164" t="s">
        <v>4</v>
      </c>
      <c r="F30" s="170"/>
      <c r="G30" s="11"/>
      <c r="H30" s="4" t="s">
        <v>399</v>
      </c>
    </row>
    <row r="31" spans="1:8" ht="13" x14ac:dyDescent="0.35">
      <c r="A31" s="509"/>
      <c r="B31" s="348"/>
      <c r="C31" s="362"/>
      <c r="D31" s="161">
        <v>2</v>
      </c>
      <c r="E31" s="164" t="s">
        <v>5</v>
      </c>
      <c r="F31" s="92" t="s">
        <v>158</v>
      </c>
      <c r="G31" s="143" t="s">
        <v>490</v>
      </c>
    </row>
    <row r="32" spans="1:8" ht="13" x14ac:dyDescent="0.35">
      <c r="A32" s="509"/>
      <c r="B32" s="348"/>
      <c r="C32" s="362"/>
      <c r="D32" s="161">
        <v>-88</v>
      </c>
      <c r="E32" s="164" t="s">
        <v>7</v>
      </c>
      <c r="F32" s="170"/>
      <c r="G32" s="11"/>
    </row>
    <row r="33" spans="1:8" ht="13" x14ac:dyDescent="0.35">
      <c r="A33" s="509"/>
      <c r="B33" s="348"/>
      <c r="C33" s="363"/>
      <c r="D33" s="162">
        <v>-99</v>
      </c>
      <c r="E33" s="165" t="s">
        <v>20</v>
      </c>
      <c r="F33" s="170"/>
      <c r="G33" s="11"/>
    </row>
    <row r="34" spans="1:8" ht="13" x14ac:dyDescent="0.35">
      <c r="A34" s="509"/>
      <c r="B34" s="348"/>
      <c r="C34" s="276" t="s">
        <v>493</v>
      </c>
      <c r="D34" s="104">
        <v>1</v>
      </c>
      <c r="E34" s="166" t="s">
        <v>4</v>
      </c>
      <c r="F34" s="92" t="s">
        <v>158</v>
      </c>
      <c r="G34" s="143" t="s">
        <v>490</v>
      </c>
      <c r="H34" s="4" t="s">
        <v>400</v>
      </c>
    </row>
    <row r="35" spans="1:8" ht="13" x14ac:dyDescent="0.35">
      <c r="A35" s="509"/>
      <c r="B35" s="348"/>
      <c r="C35" s="278"/>
      <c r="D35" s="161">
        <v>2</v>
      </c>
      <c r="E35" s="164" t="s">
        <v>5</v>
      </c>
      <c r="F35" s="170"/>
      <c r="G35" s="11"/>
    </row>
    <row r="36" spans="1:8" ht="13" x14ac:dyDescent="0.35">
      <c r="A36" s="509"/>
      <c r="B36" s="348"/>
      <c r="C36" s="278"/>
      <c r="D36" s="161">
        <v>-88</v>
      </c>
      <c r="E36" s="164" t="s">
        <v>7</v>
      </c>
      <c r="F36" s="170"/>
      <c r="G36" s="11"/>
    </row>
    <row r="37" spans="1:8" ht="13" x14ac:dyDescent="0.35">
      <c r="A37" s="509"/>
      <c r="B37" s="348"/>
      <c r="C37" s="49"/>
      <c r="D37" s="161">
        <v>-99</v>
      </c>
      <c r="E37" s="164" t="s">
        <v>20</v>
      </c>
      <c r="F37" s="170"/>
      <c r="G37" s="11"/>
    </row>
    <row r="38" spans="1:8" ht="44.25" customHeight="1" x14ac:dyDescent="0.35">
      <c r="A38" s="155"/>
      <c r="B38" s="322"/>
      <c r="C38" s="17" t="s">
        <v>817</v>
      </c>
      <c r="D38" s="503" t="s">
        <v>48</v>
      </c>
      <c r="E38" s="503"/>
      <c r="F38" s="179"/>
      <c r="G38" s="180"/>
      <c r="H38" s="4" t="s">
        <v>401</v>
      </c>
    </row>
    <row r="39" spans="1:8" ht="40.5" customHeight="1" x14ac:dyDescent="0.35">
      <c r="A39" s="170" t="s">
        <v>54</v>
      </c>
      <c r="B39" s="32">
        <f>B30+1</f>
        <v>4</v>
      </c>
      <c r="C39" s="17" t="s">
        <v>388</v>
      </c>
      <c r="D39" s="505" t="s">
        <v>48</v>
      </c>
      <c r="E39" s="508"/>
      <c r="F39" s="170"/>
      <c r="G39" s="11"/>
      <c r="H39" s="4" t="s">
        <v>402</v>
      </c>
    </row>
    <row r="40" spans="1:8" ht="42" customHeight="1" x14ac:dyDescent="0.35">
      <c r="A40" s="179" t="s">
        <v>54</v>
      </c>
      <c r="B40" s="213">
        <f t="shared" ref="B40:B50" si="0">B39+1</f>
        <v>5</v>
      </c>
      <c r="C40" s="17" t="s">
        <v>389</v>
      </c>
      <c r="D40" s="503" t="s">
        <v>48</v>
      </c>
      <c r="E40" s="503"/>
      <c r="F40" s="179"/>
      <c r="G40" s="180"/>
      <c r="H40" s="4" t="s">
        <v>403</v>
      </c>
    </row>
    <row r="41" spans="1:8" ht="41.25" customHeight="1" thickBot="1" x14ac:dyDescent="0.4">
      <c r="A41" s="170" t="s">
        <v>54</v>
      </c>
      <c r="B41" s="32">
        <f t="shared" si="0"/>
        <v>6</v>
      </c>
      <c r="C41" s="17" t="s">
        <v>239</v>
      </c>
      <c r="D41" s="505" t="s">
        <v>48</v>
      </c>
      <c r="E41" s="505"/>
      <c r="F41" s="170"/>
      <c r="G41" s="11"/>
      <c r="H41" s="4" t="s">
        <v>404</v>
      </c>
    </row>
    <row r="42" spans="1:8" ht="32.25" customHeight="1" thickBot="1" x14ac:dyDescent="0.4">
      <c r="A42" s="178" t="s">
        <v>54</v>
      </c>
      <c r="B42" s="324">
        <f t="shared" si="0"/>
        <v>7</v>
      </c>
      <c r="C42" s="17" t="s">
        <v>16</v>
      </c>
      <c r="D42" s="504" t="s">
        <v>48</v>
      </c>
      <c r="E42" s="504"/>
      <c r="F42" s="170"/>
      <c r="G42" s="11"/>
      <c r="H42" s="4" t="s">
        <v>405</v>
      </c>
    </row>
    <row r="43" spans="1:8" ht="53.25" customHeight="1" thickBot="1" x14ac:dyDescent="0.4">
      <c r="A43" s="178" t="s">
        <v>54</v>
      </c>
      <c r="B43" s="324">
        <f t="shared" si="0"/>
        <v>8</v>
      </c>
      <c r="C43" s="17" t="s">
        <v>384</v>
      </c>
      <c r="D43" s="504" t="s">
        <v>48</v>
      </c>
      <c r="E43" s="504"/>
      <c r="F43" s="170"/>
      <c r="G43" s="11"/>
      <c r="H43" s="4" t="s">
        <v>406</v>
      </c>
    </row>
    <row r="44" spans="1:8" ht="34.5" customHeight="1" thickBot="1" x14ac:dyDescent="0.4">
      <c r="A44" s="178" t="s">
        <v>54</v>
      </c>
      <c r="B44" s="324">
        <f t="shared" si="0"/>
        <v>9</v>
      </c>
      <c r="C44" s="214" t="s">
        <v>263</v>
      </c>
      <c r="D44" s="504" t="s">
        <v>48</v>
      </c>
      <c r="E44" s="504"/>
      <c r="F44" s="170"/>
      <c r="G44" s="11"/>
      <c r="H44" s="4" t="s">
        <v>407</v>
      </c>
    </row>
    <row r="45" spans="1:8" ht="37.5" customHeight="1" x14ac:dyDescent="0.35">
      <c r="A45" s="178" t="s">
        <v>54</v>
      </c>
      <c r="B45" s="324">
        <f t="shared" si="0"/>
        <v>10</v>
      </c>
      <c r="C45" s="17" t="s">
        <v>513</v>
      </c>
      <c r="D45" s="504" t="s">
        <v>48</v>
      </c>
      <c r="E45" s="504"/>
      <c r="F45" s="170"/>
      <c r="G45" s="11"/>
      <c r="H45" s="4" t="s">
        <v>408</v>
      </c>
    </row>
    <row r="46" spans="1:8" ht="41.25" customHeight="1" x14ac:dyDescent="0.35">
      <c r="A46" s="179" t="s">
        <v>54</v>
      </c>
      <c r="B46" s="322">
        <f t="shared" si="0"/>
        <v>11</v>
      </c>
      <c r="C46" s="214" t="s">
        <v>494</v>
      </c>
      <c r="D46" s="503" t="s">
        <v>48</v>
      </c>
      <c r="E46" s="503"/>
      <c r="F46" s="170"/>
      <c r="G46" s="11"/>
      <c r="H46" s="4" t="s">
        <v>409</v>
      </c>
    </row>
    <row r="47" spans="1:8" ht="39" customHeight="1" thickBot="1" x14ac:dyDescent="0.4">
      <c r="A47" s="170" t="s">
        <v>54</v>
      </c>
      <c r="B47" s="32">
        <f t="shared" si="0"/>
        <v>12</v>
      </c>
      <c r="C47" s="17" t="s">
        <v>115</v>
      </c>
      <c r="D47" s="505" t="s">
        <v>48</v>
      </c>
      <c r="E47" s="505"/>
      <c r="F47" s="170"/>
      <c r="G47" s="11"/>
      <c r="H47" s="4" t="s">
        <v>410</v>
      </c>
    </row>
    <row r="48" spans="1:8" ht="42" customHeight="1" thickBot="1" x14ac:dyDescent="0.4">
      <c r="A48" s="178" t="s">
        <v>54</v>
      </c>
      <c r="B48" s="324">
        <f t="shared" si="0"/>
        <v>13</v>
      </c>
      <c r="C48" s="17" t="s">
        <v>169</v>
      </c>
      <c r="D48" s="504" t="s">
        <v>48</v>
      </c>
      <c r="E48" s="504"/>
      <c r="F48" s="170"/>
      <c r="G48" s="11"/>
      <c r="H48" s="4" t="s">
        <v>411</v>
      </c>
    </row>
    <row r="49" spans="1:8" ht="38.25" customHeight="1" thickBot="1" x14ac:dyDescent="0.4">
      <c r="A49" s="178" t="s">
        <v>54</v>
      </c>
      <c r="B49" s="324">
        <f t="shared" si="0"/>
        <v>14</v>
      </c>
      <c r="C49" s="17" t="s">
        <v>264</v>
      </c>
      <c r="D49" s="504" t="s">
        <v>48</v>
      </c>
      <c r="E49" s="504"/>
      <c r="F49" s="170"/>
      <c r="G49" s="11"/>
      <c r="H49" s="4" t="s">
        <v>412</v>
      </c>
    </row>
    <row r="50" spans="1:8" ht="13" x14ac:dyDescent="0.35">
      <c r="A50" s="178" t="s">
        <v>54</v>
      </c>
      <c r="B50" s="506">
        <f t="shared" si="0"/>
        <v>15</v>
      </c>
      <c r="C50" s="507" t="s">
        <v>514</v>
      </c>
      <c r="D50" s="211">
        <v>1</v>
      </c>
      <c r="E50" s="166" t="s">
        <v>4</v>
      </c>
      <c r="F50" s="170"/>
      <c r="G50" s="11"/>
      <c r="H50" s="4" t="s">
        <v>416</v>
      </c>
    </row>
    <row r="51" spans="1:8" ht="13" x14ac:dyDescent="0.35">
      <c r="A51" s="170"/>
      <c r="B51" s="393"/>
      <c r="C51" s="507"/>
      <c r="D51" s="149">
        <v>2</v>
      </c>
      <c r="E51" s="164" t="s">
        <v>5</v>
      </c>
      <c r="F51" s="92" t="s">
        <v>158</v>
      </c>
      <c r="G51" s="167" t="s">
        <v>491</v>
      </c>
    </row>
    <row r="52" spans="1:8" ht="13" x14ac:dyDescent="0.35">
      <c r="A52" s="170"/>
      <c r="B52" s="393"/>
      <c r="C52" s="507"/>
      <c r="D52" s="149">
        <v>-88</v>
      </c>
      <c r="E52" s="164" t="s">
        <v>7</v>
      </c>
      <c r="F52" s="170"/>
      <c r="G52" s="11"/>
    </row>
    <row r="53" spans="1:8" ht="13" x14ac:dyDescent="0.35">
      <c r="A53" s="170"/>
      <c r="B53" s="393"/>
      <c r="C53" s="507"/>
      <c r="D53" s="149">
        <v>-99</v>
      </c>
      <c r="E53" s="164" t="s">
        <v>20</v>
      </c>
      <c r="F53" s="170"/>
      <c r="G53" s="11"/>
    </row>
    <row r="54" spans="1:8" ht="41.25" customHeight="1" x14ac:dyDescent="0.35">
      <c r="A54" s="178" t="s">
        <v>54</v>
      </c>
      <c r="B54" s="277">
        <f>B50</f>
        <v>15</v>
      </c>
      <c r="C54" s="17" t="s">
        <v>229</v>
      </c>
      <c r="D54" s="504"/>
      <c r="E54" s="504"/>
      <c r="F54" s="170"/>
      <c r="G54" s="11"/>
      <c r="H54" s="4" t="s">
        <v>415</v>
      </c>
    </row>
    <row r="55" spans="1:8" ht="28.5" customHeight="1" x14ac:dyDescent="0.35">
      <c r="A55" s="170" t="s">
        <v>54</v>
      </c>
      <c r="B55" s="32">
        <f>B50</f>
        <v>15</v>
      </c>
      <c r="C55" s="17" t="s">
        <v>230</v>
      </c>
      <c r="D55" s="504" t="s">
        <v>48</v>
      </c>
      <c r="E55" s="504"/>
      <c r="F55" s="170"/>
      <c r="G55" s="11"/>
      <c r="H55" s="4" t="s">
        <v>414</v>
      </c>
    </row>
    <row r="56" spans="1:8" ht="24.75" customHeight="1" x14ac:dyDescent="0.35">
      <c r="A56" s="178" t="s">
        <v>54</v>
      </c>
      <c r="B56" s="277">
        <f>B55</f>
        <v>15</v>
      </c>
      <c r="C56" s="17" t="s">
        <v>231</v>
      </c>
      <c r="D56" s="504"/>
      <c r="E56" s="504"/>
      <c r="F56" s="170"/>
      <c r="G56" s="11"/>
      <c r="H56" s="4" t="s">
        <v>413</v>
      </c>
    </row>
    <row r="57" spans="1:8" s="210" customFormat="1" ht="36" customHeight="1" x14ac:dyDescent="0.35">
      <c r="A57" s="146" t="s">
        <v>54</v>
      </c>
      <c r="B57" s="83">
        <v>16</v>
      </c>
      <c r="C57" s="17" t="s">
        <v>390</v>
      </c>
      <c r="D57" s="503" t="s">
        <v>110</v>
      </c>
      <c r="E57" s="503"/>
      <c r="F57" s="155"/>
      <c r="G57" s="156"/>
      <c r="H57" s="4" t="s">
        <v>417</v>
      </c>
    </row>
    <row r="58" spans="1:8" s="210" customFormat="1" ht="58.5" customHeight="1" x14ac:dyDescent="0.35">
      <c r="A58" s="146" t="s">
        <v>54</v>
      </c>
      <c r="B58" s="83">
        <f>B57+1</f>
        <v>17</v>
      </c>
      <c r="C58" s="17" t="s">
        <v>391</v>
      </c>
      <c r="D58" s="503" t="s">
        <v>110</v>
      </c>
      <c r="E58" s="503"/>
      <c r="F58" s="155"/>
      <c r="G58" s="156"/>
      <c r="H58" s="4" t="s">
        <v>418</v>
      </c>
    </row>
  </sheetData>
  <mergeCells count="40">
    <mergeCell ref="F13:G14"/>
    <mergeCell ref="F20:G20"/>
    <mergeCell ref="A2:G2"/>
    <mergeCell ref="C1:D1"/>
    <mergeCell ref="A4:B4"/>
    <mergeCell ref="D4:E4"/>
    <mergeCell ref="D9:E9"/>
    <mergeCell ref="F4:G4"/>
    <mergeCell ref="D20:E20"/>
    <mergeCell ref="A21:A28"/>
    <mergeCell ref="B21:B28"/>
    <mergeCell ref="C21:C24"/>
    <mergeCell ref="A5:A9"/>
    <mergeCell ref="B5:B9"/>
    <mergeCell ref="C5:C8"/>
    <mergeCell ref="C25:C27"/>
    <mergeCell ref="C13:C16"/>
    <mergeCell ref="D29:E29"/>
    <mergeCell ref="A30:A37"/>
    <mergeCell ref="B30:B37"/>
    <mergeCell ref="C30:C33"/>
    <mergeCell ref="D38:E38"/>
    <mergeCell ref="B50:B53"/>
    <mergeCell ref="D49:E49"/>
    <mergeCell ref="D45:E45"/>
    <mergeCell ref="C50:C53"/>
    <mergeCell ref="D39:E39"/>
    <mergeCell ref="D42:E42"/>
    <mergeCell ref="D40:E40"/>
    <mergeCell ref="D41:E41"/>
    <mergeCell ref="D44:E44"/>
    <mergeCell ref="D43:E43"/>
    <mergeCell ref="D57:E57"/>
    <mergeCell ref="D58:E58"/>
    <mergeCell ref="D54:E54"/>
    <mergeCell ref="D55:E55"/>
    <mergeCell ref="D46:E46"/>
    <mergeCell ref="D47:E47"/>
    <mergeCell ref="D48:E48"/>
    <mergeCell ref="D56:E56"/>
  </mergeCells>
  <pageMargins left="0.7" right="0.7" top="0.75" bottom="0.75" header="0.3" footer="0.3"/>
  <pageSetup orientation="portrait" r:id="rId1"/>
  <headerFooter>
    <oddHeader>&amp;LE. Business Expenditure</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4"/>
  <sheetViews>
    <sheetView view="pageLayout" topLeftCell="A76" zoomScaleNormal="100" workbookViewId="0">
      <selection activeCell="C76" sqref="C76:C87"/>
    </sheetView>
  </sheetViews>
  <sheetFormatPr defaultRowHeight="14.5" x14ac:dyDescent="0.35"/>
  <cols>
    <col min="1" max="1" width="2.7265625" customWidth="1"/>
    <col min="2" max="2" width="3" bestFit="1" customWidth="1"/>
    <col min="3" max="3" width="37.453125" customWidth="1"/>
    <col min="4" max="4" width="5.81640625" customWidth="1"/>
    <col min="5" max="5" width="32.54296875" customWidth="1"/>
    <col min="6" max="6" width="4.453125" hidden="1" customWidth="1"/>
    <col min="7" max="7" width="2.81640625" hidden="1" customWidth="1"/>
  </cols>
  <sheetData>
    <row r="1" spans="1:6" ht="40.5" customHeight="1" x14ac:dyDescent="0.35">
      <c r="A1" s="393" t="s">
        <v>764</v>
      </c>
      <c r="B1" s="393"/>
      <c r="C1" s="393"/>
      <c r="D1" s="393"/>
      <c r="E1" s="393"/>
      <c r="F1" s="210"/>
    </row>
    <row r="2" spans="1:6" ht="30" customHeight="1" x14ac:dyDescent="0.35">
      <c r="A2" s="531" t="s">
        <v>0</v>
      </c>
      <c r="B2" s="532"/>
      <c r="C2" s="279" t="s">
        <v>57</v>
      </c>
      <c r="D2" s="533" t="s">
        <v>58</v>
      </c>
      <c r="E2" s="534"/>
      <c r="F2" s="210"/>
    </row>
    <row r="3" spans="1:6" ht="72.75" customHeight="1" x14ac:dyDescent="0.35">
      <c r="A3" s="381" t="s">
        <v>580</v>
      </c>
      <c r="B3" s="351">
        <v>1</v>
      </c>
      <c r="C3" s="380" t="s">
        <v>765</v>
      </c>
      <c r="D3" s="8">
        <v>1</v>
      </c>
      <c r="E3" s="277" t="s">
        <v>4</v>
      </c>
      <c r="F3" s="210" t="s">
        <v>581</v>
      </c>
    </row>
    <row r="4" spans="1:6" x14ac:dyDescent="0.35">
      <c r="A4" s="382"/>
      <c r="B4" s="383"/>
      <c r="C4" s="362"/>
      <c r="D4" s="12">
        <v>2</v>
      </c>
      <c r="E4" s="32" t="s">
        <v>5</v>
      </c>
      <c r="F4" s="210"/>
    </row>
    <row r="5" spans="1:6" ht="15" customHeight="1" x14ac:dyDescent="0.35">
      <c r="A5" s="97"/>
      <c r="B5" s="23"/>
      <c r="C5" s="362"/>
      <c r="D5" s="12">
        <v>-88</v>
      </c>
      <c r="E5" s="32" t="s">
        <v>7</v>
      </c>
      <c r="F5" s="210"/>
    </row>
    <row r="6" spans="1:6" ht="15" customHeight="1" x14ac:dyDescent="0.35">
      <c r="A6" s="98"/>
      <c r="B6" s="145"/>
      <c r="C6" s="363"/>
      <c r="D6" s="9">
        <v>-99</v>
      </c>
      <c r="E6" s="283" t="s">
        <v>20</v>
      </c>
      <c r="F6" s="210"/>
    </row>
    <row r="7" spans="1:6" ht="25.5" customHeight="1" x14ac:dyDescent="0.35">
      <c r="A7" s="381" t="s">
        <v>580</v>
      </c>
      <c r="B7" s="351">
        <v>2</v>
      </c>
      <c r="C7" s="380" t="s">
        <v>582</v>
      </c>
      <c r="D7" s="8">
        <v>1</v>
      </c>
      <c r="E7" s="67" t="s">
        <v>583</v>
      </c>
      <c r="F7" s="210" t="s">
        <v>584</v>
      </c>
    </row>
    <row r="8" spans="1:6" ht="39" x14ac:dyDescent="0.35">
      <c r="A8" s="382"/>
      <c r="B8" s="383"/>
      <c r="C8" s="362"/>
      <c r="D8" s="12">
        <f>D7+1</f>
        <v>2</v>
      </c>
      <c r="E8" s="23" t="s">
        <v>585</v>
      </c>
      <c r="F8" s="210"/>
    </row>
    <row r="9" spans="1:6" x14ac:dyDescent="0.35">
      <c r="A9" s="12"/>
      <c r="B9" s="143"/>
      <c r="C9" s="362"/>
      <c r="D9" s="12">
        <f>D8+1</f>
        <v>3</v>
      </c>
      <c r="E9" s="23" t="s">
        <v>586</v>
      </c>
      <c r="F9" s="210"/>
    </row>
    <row r="10" spans="1:6" x14ac:dyDescent="0.35">
      <c r="A10" s="12"/>
      <c r="B10" s="143"/>
      <c r="C10" s="274"/>
      <c r="D10" s="12">
        <f>D9+1</f>
        <v>4</v>
      </c>
      <c r="E10" s="23" t="s">
        <v>587</v>
      </c>
      <c r="F10" s="210"/>
    </row>
    <row r="11" spans="1:6" ht="26" x14ac:dyDescent="0.35">
      <c r="A11" s="12"/>
      <c r="B11" s="143"/>
      <c r="C11" s="274"/>
      <c r="D11" s="12">
        <f>D10+1</f>
        <v>5</v>
      </c>
      <c r="E11" s="23" t="s">
        <v>588</v>
      </c>
      <c r="F11" s="210"/>
    </row>
    <row r="12" spans="1:6" x14ac:dyDescent="0.35">
      <c r="A12" s="12"/>
      <c r="B12" s="143"/>
      <c r="C12" s="274"/>
      <c r="D12" s="12">
        <f>D11+1</f>
        <v>6</v>
      </c>
      <c r="E12" s="72" t="s">
        <v>589</v>
      </c>
      <c r="F12" s="210"/>
    </row>
    <row r="13" spans="1:6" x14ac:dyDescent="0.35">
      <c r="A13" s="12"/>
      <c r="B13" s="143"/>
      <c r="C13" s="274"/>
      <c r="D13" s="12">
        <v>7</v>
      </c>
      <c r="E13" s="72" t="s">
        <v>590</v>
      </c>
      <c r="F13" s="210"/>
    </row>
    <row r="14" spans="1:6" x14ac:dyDescent="0.35">
      <c r="A14" s="12"/>
      <c r="B14" s="143"/>
      <c r="C14" s="274"/>
      <c r="D14" s="12"/>
      <c r="E14" s="72"/>
      <c r="F14" s="210"/>
    </row>
    <row r="15" spans="1:6" x14ac:dyDescent="0.35">
      <c r="A15" s="12"/>
      <c r="B15" s="143"/>
      <c r="C15" s="274"/>
      <c r="D15" s="12">
        <v>-66</v>
      </c>
      <c r="E15" s="23" t="s">
        <v>591</v>
      </c>
      <c r="F15" s="210"/>
    </row>
    <row r="16" spans="1:6" x14ac:dyDescent="0.35">
      <c r="A16" s="97"/>
      <c r="B16" s="23"/>
      <c r="C16" s="97"/>
      <c r="D16" s="12">
        <v>-88</v>
      </c>
      <c r="E16" s="72" t="s">
        <v>7</v>
      </c>
      <c r="F16" s="210"/>
    </row>
    <row r="17" spans="1:7" x14ac:dyDescent="0.35">
      <c r="A17" s="97"/>
      <c r="B17" s="23"/>
      <c r="C17" s="98"/>
      <c r="D17" s="9">
        <v>-99</v>
      </c>
      <c r="E17" s="74" t="s">
        <v>20</v>
      </c>
      <c r="F17" s="210"/>
    </row>
    <row r="18" spans="1:7" ht="15" customHeight="1" x14ac:dyDescent="0.35">
      <c r="A18" s="381" t="s">
        <v>580</v>
      </c>
      <c r="B18" s="217">
        <v>3</v>
      </c>
      <c r="C18" s="348" t="s">
        <v>592</v>
      </c>
      <c r="D18" s="8">
        <v>1</v>
      </c>
      <c r="E18" s="144" t="s">
        <v>4</v>
      </c>
      <c r="F18" s="210" t="s">
        <v>593</v>
      </c>
      <c r="G18" t="s">
        <v>769</v>
      </c>
    </row>
    <row r="19" spans="1:7" x14ac:dyDescent="0.35">
      <c r="A19" s="382"/>
      <c r="B19" s="23"/>
      <c r="C19" s="348"/>
      <c r="D19" s="12">
        <v>2</v>
      </c>
      <c r="E19" s="23" t="s">
        <v>5</v>
      </c>
      <c r="F19" s="210"/>
      <c r="G19" t="s">
        <v>767</v>
      </c>
    </row>
    <row r="20" spans="1:7" x14ac:dyDescent="0.35">
      <c r="A20" s="274"/>
      <c r="B20" s="23"/>
      <c r="C20" s="348"/>
      <c r="D20" s="12">
        <v>-88</v>
      </c>
      <c r="E20" s="23" t="s">
        <v>7</v>
      </c>
      <c r="F20" s="210"/>
    </row>
    <row r="21" spans="1:7" ht="39" customHeight="1" x14ac:dyDescent="0.35">
      <c r="A21" s="275"/>
      <c r="B21" s="145"/>
      <c r="C21" s="377"/>
      <c r="D21" s="9">
        <v>-99</v>
      </c>
      <c r="E21" s="145" t="s">
        <v>20</v>
      </c>
      <c r="F21" s="210"/>
    </row>
    <row r="22" spans="1:7" ht="52" x14ac:dyDescent="0.35">
      <c r="A22" s="274" t="s">
        <v>580</v>
      </c>
      <c r="B22" s="23">
        <v>4</v>
      </c>
      <c r="C22" s="23" t="s">
        <v>594</v>
      </c>
      <c r="D22" s="492" t="s">
        <v>78</v>
      </c>
      <c r="E22" s="493"/>
      <c r="F22" s="210" t="s">
        <v>595</v>
      </c>
    </row>
    <row r="23" spans="1:7" x14ac:dyDescent="0.35">
      <c r="A23" s="406" t="s">
        <v>768</v>
      </c>
      <c r="B23" s="530"/>
      <c r="C23" s="530"/>
      <c r="D23" s="530"/>
      <c r="E23" s="407"/>
      <c r="F23" s="210"/>
    </row>
    <row r="24" spans="1:7" ht="15" customHeight="1" x14ac:dyDescent="0.35">
      <c r="A24" s="381" t="s">
        <v>580</v>
      </c>
      <c r="B24" s="351">
        <v>5</v>
      </c>
      <c r="C24" s="380" t="s">
        <v>802</v>
      </c>
      <c r="D24" s="8">
        <v>1</v>
      </c>
      <c r="E24" s="144" t="s">
        <v>4</v>
      </c>
      <c r="F24" s="210" t="s">
        <v>596</v>
      </c>
    </row>
    <row r="25" spans="1:7" x14ac:dyDescent="0.35">
      <c r="A25" s="382"/>
      <c r="B25" s="383"/>
      <c r="C25" s="362"/>
      <c r="D25" s="12">
        <v>2</v>
      </c>
      <c r="E25" s="23" t="s">
        <v>5</v>
      </c>
      <c r="F25" s="210"/>
      <c r="G25" t="s">
        <v>767</v>
      </c>
    </row>
    <row r="26" spans="1:7" x14ac:dyDescent="0.35">
      <c r="A26" s="97"/>
      <c r="B26" s="23"/>
      <c r="C26" s="362"/>
      <c r="D26" s="12">
        <v>-88</v>
      </c>
      <c r="E26" s="23" t="s">
        <v>7</v>
      </c>
      <c r="F26" s="210"/>
    </row>
    <row r="27" spans="1:7" x14ac:dyDescent="0.35">
      <c r="A27" s="98"/>
      <c r="B27" s="145"/>
      <c r="C27" s="98"/>
      <c r="D27" s="9">
        <v>-99</v>
      </c>
      <c r="E27" s="145" t="s">
        <v>20</v>
      </c>
      <c r="F27" s="210"/>
    </row>
    <row r="28" spans="1:7" x14ac:dyDescent="0.35">
      <c r="A28" s="523" t="s">
        <v>597</v>
      </c>
      <c r="B28" s="523"/>
      <c r="C28" s="523"/>
      <c r="D28" s="523"/>
      <c r="E28" s="289"/>
    </row>
    <row r="29" spans="1:7" ht="30.75" customHeight="1" x14ac:dyDescent="0.35">
      <c r="A29" s="374" t="s">
        <v>766</v>
      </c>
      <c r="B29" s="462"/>
      <c r="C29" s="462"/>
      <c r="D29" s="462"/>
      <c r="E29" s="462"/>
    </row>
    <row r="30" spans="1:7" ht="33.75" customHeight="1" x14ac:dyDescent="0.35">
      <c r="A30" s="97" t="s">
        <v>580</v>
      </c>
      <c r="B30" s="160">
        <f>B117+1</f>
        <v>14</v>
      </c>
      <c r="C30" s="362" t="s">
        <v>598</v>
      </c>
      <c r="D30" s="12">
        <v>1</v>
      </c>
      <c r="E30" s="32" t="s">
        <v>599</v>
      </c>
      <c r="F30" t="s">
        <v>600</v>
      </c>
    </row>
    <row r="31" spans="1:7" ht="37.5" customHeight="1" x14ac:dyDescent="0.35">
      <c r="A31" s="97"/>
      <c r="B31" s="32"/>
      <c r="C31" s="362"/>
      <c r="D31" s="12">
        <f>D30+1</f>
        <v>2</v>
      </c>
      <c r="E31" s="32" t="s">
        <v>601</v>
      </c>
    </row>
    <row r="32" spans="1:7" ht="36" customHeight="1" x14ac:dyDescent="0.35">
      <c r="A32" s="97"/>
      <c r="B32" s="32"/>
      <c r="C32" s="278"/>
      <c r="D32" s="12">
        <f t="shared" ref="D32:D42" si="0">D31+1</f>
        <v>3</v>
      </c>
      <c r="E32" s="32" t="s">
        <v>602</v>
      </c>
    </row>
    <row r="33" spans="1:6" ht="24" customHeight="1" x14ac:dyDescent="0.35">
      <c r="A33" s="97"/>
      <c r="B33" s="32"/>
      <c r="C33" s="278"/>
      <c r="D33" s="12">
        <f t="shared" si="0"/>
        <v>4</v>
      </c>
      <c r="E33" s="32" t="s">
        <v>603</v>
      </c>
    </row>
    <row r="34" spans="1:6" ht="25.5" customHeight="1" x14ac:dyDescent="0.35">
      <c r="A34" s="97"/>
      <c r="B34" s="32"/>
      <c r="C34" s="278"/>
      <c r="D34" s="12">
        <f t="shared" si="0"/>
        <v>5</v>
      </c>
      <c r="E34" s="32" t="s">
        <v>604</v>
      </c>
    </row>
    <row r="35" spans="1:6" ht="33.75" customHeight="1" x14ac:dyDescent="0.35">
      <c r="A35" s="97"/>
      <c r="B35" s="32"/>
      <c r="C35" s="278"/>
      <c r="D35" s="12">
        <f t="shared" si="0"/>
        <v>6</v>
      </c>
      <c r="E35" s="32" t="s">
        <v>605</v>
      </c>
    </row>
    <row r="36" spans="1:6" ht="27.75" customHeight="1" x14ac:dyDescent="0.35">
      <c r="A36" s="97"/>
      <c r="B36" s="32"/>
      <c r="C36" s="278"/>
      <c r="D36" s="12">
        <f t="shared" si="0"/>
        <v>7</v>
      </c>
      <c r="E36" s="32" t="s">
        <v>606</v>
      </c>
    </row>
    <row r="37" spans="1:6" ht="30" customHeight="1" x14ac:dyDescent="0.35">
      <c r="A37" s="97"/>
      <c r="B37" s="32"/>
      <c r="C37" s="278"/>
      <c r="D37" s="12">
        <f t="shared" si="0"/>
        <v>8</v>
      </c>
      <c r="E37" s="32" t="s">
        <v>607</v>
      </c>
    </row>
    <row r="38" spans="1:6" x14ac:dyDescent="0.35">
      <c r="A38" s="97"/>
      <c r="B38" s="32"/>
      <c r="C38" s="278"/>
      <c r="D38" s="12">
        <f t="shared" si="0"/>
        <v>9</v>
      </c>
      <c r="E38" s="32" t="s">
        <v>608</v>
      </c>
    </row>
    <row r="39" spans="1:6" x14ac:dyDescent="0.35">
      <c r="A39" s="97"/>
      <c r="B39" s="32"/>
      <c r="C39" s="278"/>
      <c r="D39" s="12">
        <f t="shared" si="0"/>
        <v>10</v>
      </c>
      <c r="E39" s="32" t="s">
        <v>609</v>
      </c>
    </row>
    <row r="40" spans="1:6" x14ac:dyDescent="0.35">
      <c r="A40" s="97"/>
      <c r="B40" s="32"/>
      <c r="C40" s="278"/>
      <c r="D40" s="12">
        <f t="shared" si="0"/>
        <v>11</v>
      </c>
      <c r="E40" s="32" t="s">
        <v>610</v>
      </c>
    </row>
    <row r="41" spans="1:6" ht="14.25" customHeight="1" x14ac:dyDescent="0.35">
      <c r="A41" s="97"/>
      <c r="B41" s="32"/>
      <c r="C41" s="278"/>
      <c r="D41" s="12">
        <f t="shared" si="0"/>
        <v>12</v>
      </c>
      <c r="E41" s="32" t="s">
        <v>611</v>
      </c>
    </row>
    <row r="42" spans="1:6" ht="26" hidden="1" x14ac:dyDescent="0.35">
      <c r="A42" s="97"/>
      <c r="B42" s="32"/>
      <c r="C42" s="278"/>
      <c r="D42" s="12">
        <f t="shared" si="0"/>
        <v>13</v>
      </c>
      <c r="E42" s="32" t="s">
        <v>612</v>
      </c>
    </row>
    <row r="43" spans="1:6" x14ac:dyDescent="0.35">
      <c r="A43" s="97"/>
      <c r="B43" s="32"/>
      <c r="C43" s="278"/>
      <c r="D43" s="12">
        <v>-66</v>
      </c>
      <c r="E43" s="32" t="s">
        <v>613</v>
      </c>
    </row>
    <row r="44" spans="1:6" x14ac:dyDescent="0.35">
      <c r="A44" s="97"/>
      <c r="B44" s="32"/>
      <c r="C44" s="278"/>
      <c r="D44" s="12">
        <v>-88</v>
      </c>
      <c r="E44" s="32" t="s">
        <v>7</v>
      </c>
    </row>
    <row r="45" spans="1:6" x14ac:dyDescent="0.35">
      <c r="A45" s="97"/>
      <c r="B45" s="32"/>
      <c r="C45" s="285"/>
      <c r="D45" s="9">
        <v>-99</v>
      </c>
      <c r="E45" s="283" t="s">
        <v>20</v>
      </c>
    </row>
    <row r="46" spans="1:6" x14ac:dyDescent="0.35">
      <c r="A46" s="381" t="s">
        <v>580</v>
      </c>
      <c r="B46" s="528">
        <f>B30+1</f>
        <v>15</v>
      </c>
      <c r="C46" s="380" t="s">
        <v>614</v>
      </c>
      <c r="D46" s="8">
        <v>1</v>
      </c>
      <c r="E46" s="277" t="s">
        <v>615</v>
      </c>
      <c r="F46" t="s">
        <v>616</v>
      </c>
    </row>
    <row r="47" spans="1:6" ht="26" x14ac:dyDescent="0.35">
      <c r="A47" s="382"/>
      <c r="B47" s="529"/>
      <c r="C47" s="362"/>
      <c r="D47" s="12">
        <f>D46+1</f>
        <v>2</v>
      </c>
      <c r="E47" s="32" t="s">
        <v>617</v>
      </c>
    </row>
    <row r="48" spans="1:6" ht="28.5" customHeight="1" x14ac:dyDescent="0.35">
      <c r="A48" s="12"/>
      <c r="B48" s="160"/>
      <c r="C48" s="278"/>
      <c r="D48" s="12">
        <f t="shared" ref="D48:D62" si="1">D47+1</f>
        <v>3</v>
      </c>
      <c r="E48" s="32" t="s">
        <v>618</v>
      </c>
    </row>
    <row r="49" spans="1:5" ht="27" customHeight="1" x14ac:dyDescent="0.35">
      <c r="A49" s="12"/>
      <c r="B49" s="160"/>
      <c r="C49" s="278"/>
      <c r="D49" s="12">
        <f t="shared" si="1"/>
        <v>4</v>
      </c>
      <c r="E49" s="32" t="s">
        <v>619</v>
      </c>
    </row>
    <row r="50" spans="1:5" x14ac:dyDescent="0.35">
      <c r="A50" s="12"/>
      <c r="B50" s="160"/>
      <c r="C50" s="278"/>
      <c r="D50" s="12">
        <f t="shared" si="1"/>
        <v>5</v>
      </c>
      <c r="E50" s="32" t="s">
        <v>620</v>
      </c>
    </row>
    <row r="51" spans="1:5" x14ac:dyDescent="0.35">
      <c r="A51" s="12"/>
      <c r="B51" s="160"/>
      <c r="C51" s="278"/>
      <c r="D51" s="12">
        <f t="shared" si="1"/>
        <v>6</v>
      </c>
      <c r="E51" s="32" t="s">
        <v>621</v>
      </c>
    </row>
    <row r="52" spans="1:5" ht="26" x14ac:dyDescent="0.35">
      <c r="A52" s="12"/>
      <c r="B52" s="160"/>
      <c r="C52" s="278"/>
      <c r="D52" s="12">
        <f t="shared" si="1"/>
        <v>7</v>
      </c>
      <c r="E52" s="32" t="s">
        <v>622</v>
      </c>
    </row>
    <row r="53" spans="1:5" x14ac:dyDescent="0.35">
      <c r="A53" s="12"/>
      <c r="B53" s="143"/>
      <c r="C53" s="274"/>
      <c r="D53" s="12">
        <f t="shared" si="1"/>
        <v>8</v>
      </c>
      <c r="E53" s="158" t="s">
        <v>623</v>
      </c>
    </row>
    <row r="54" spans="1:5" ht="15" customHeight="1" x14ac:dyDescent="0.35">
      <c r="A54" s="30"/>
      <c r="B54" s="160"/>
      <c r="C54" s="32"/>
      <c r="D54" s="12">
        <f t="shared" si="1"/>
        <v>9</v>
      </c>
      <c r="E54" s="158" t="s">
        <v>624</v>
      </c>
    </row>
    <row r="55" spans="1:5" x14ac:dyDescent="0.35">
      <c r="A55" s="12"/>
      <c r="B55" s="160"/>
      <c r="C55" s="278"/>
      <c r="D55" s="12">
        <f t="shared" si="1"/>
        <v>10</v>
      </c>
      <c r="E55" s="32" t="s">
        <v>625</v>
      </c>
    </row>
    <row r="56" spans="1:5" x14ac:dyDescent="0.35">
      <c r="A56" s="12"/>
      <c r="B56" s="160"/>
      <c r="C56" s="278"/>
      <c r="D56" s="12">
        <f t="shared" si="1"/>
        <v>11</v>
      </c>
      <c r="E56" s="32" t="s">
        <v>626</v>
      </c>
    </row>
    <row r="57" spans="1:5" x14ac:dyDescent="0.35">
      <c r="A57" s="12"/>
      <c r="B57" s="160"/>
      <c r="C57" s="278"/>
      <c r="D57" s="12">
        <f t="shared" si="1"/>
        <v>12</v>
      </c>
      <c r="E57" s="32" t="s">
        <v>627</v>
      </c>
    </row>
    <row r="58" spans="1:5" ht="39" x14ac:dyDescent="0.35">
      <c r="A58" s="12"/>
      <c r="B58" s="160"/>
      <c r="C58" s="278"/>
      <c r="D58" s="12">
        <f t="shared" si="1"/>
        <v>13</v>
      </c>
      <c r="E58" s="32" t="s">
        <v>628</v>
      </c>
    </row>
    <row r="59" spans="1:5" x14ac:dyDescent="0.35">
      <c r="A59" s="12"/>
      <c r="B59" s="160"/>
      <c r="C59" s="278"/>
      <c r="D59" s="12">
        <f t="shared" si="1"/>
        <v>14</v>
      </c>
      <c r="E59" s="32" t="s">
        <v>629</v>
      </c>
    </row>
    <row r="60" spans="1:5" x14ac:dyDescent="0.35">
      <c r="A60" s="12"/>
      <c r="B60" s="160"/>
      <c r="C60" s="278"/>
      <c r="D60" s="12">
        <f t="shared" si="1"/>
        <v>15</v>
      </c>
      <c r="E60" s="32" t="s">
        <v>630</v>
      </c>
    </row>
    <row r="61" spans="1:5" x14ac:dyDescent="0.35">
      <c r="A61" s="30"/>
      <c r="B61" s="160"/>
      <c r="C61" s="278"/>
      <c r="D61" s="12">
        <f t="shared" si="1"/>
        <v>16</v>
      </c>
      <c r="E61" s="32" t="s">
        <v>631</v>
      </c>
    </row>
    <row r="62" spans="1:5" x14ac:dyDescent="0.35">
      <c r="A62" s="30"/>
      <c r="B62" s="160"/>
      <c r="C62" s="278"/>
      <c r="D62" s="12">
        <f t="shared" si="1"/>
        <v>17</v>
      </c>
      <c r="E62" s="32" t="s">
        <v>632</v>
      </c>
    </row>
    <row r="63" spans="1:5" x14ac:dyDescent="0.35">
      <c r="A63" s="30"/>
      <c r="B63" s="160"/>
      <c r="C63" s="278"/>
      <c r="D63" s="12">
        <v>18</v>
      </c>
      <c r="E63" s="32" t="s">
        <v>633</v>
      </c>
    </row>
    <row r="64" spans="1:5" x14ac:dyDescent="0.35">
      <c r="A64" s="12"/>
      <c r="B64" s="160"/>
      <c r="C64" s="278"/>
      <c r="D64" s="12">
        <v>96</v>
      </c>
      <c r="E64" s="32" t="s">
        <v>613</v>
      </c>
    </row>
    <row r="65" spans="1:7" x14ac:dyDescent="0.35">
      <c r="A65" s="97"/>
      <c r="B65" s="32"/>
      <c r="C65" s="286"/>
      <c r="D65" s="12">
        <v>-88</v>
      </c>
      <c r="E65" s="32" t="s">
        <v>7</v>
      </c>
    </row>
    <row r="66" spans="1:7" x14ac:dyDescent="0.35">
      <c r="A66" s="98"/>
      <c r="B66" s="283"/>
      <c r="C66" s="290"/>
      <c r="D66" s="9">
        <v>-99</v>
      </c>
      <c r="E66" s="283" t="s">
        <v>20</v>
      </c>
    </row>
    <row r="67" spans="1:7" x14ac:dyDescent="0.35">
      <c r="A67" s="255"/>
      <c r="B67" s="32"/>
      <c r="C67" s="255"/>
      <c r="D67" s="30"/>
      <c r="E67" s="32"/>
    </row>
    <row r="68" spans="1:7" x14ac:dyDescent="0.35">
      <c r="A68" s="365" t="s">
        <v>634</v>
      </c>
      <c r="B68" s="365"/>
      <c r="C68" s="365"/>
      <c r="D68" s="365"/>
      <c r="E68" s="365"/>
    </row>
    <row r="69" spans="1:7" x14ac:dyDescent="0.35">
      <c r="A69" s="374" t="s">
        <v>635</v>
      </c>
      <c r="B69" s="462"/>
      <c r="C69" s="462"/>
      <c r="D69" s="462"/>
      <c r="E69" s="462"/>
    </row>
    <row r="70" spans="1:7" ht="26" x14ac:dyDescent="0.35">
      <c r="A70" s="287" t="s">
        <v>580</v>
      </c>
      <c r="B70" s="83">
        <v>6</v>
      </c>
      <c r="C70" s="17" t="s">
        <v>636</v>
      </c>
      <c r="D70" s="366" t="s">
        <v>637</v>
      </c>
      <c r="E70" s="503"/>
      <c r="F70" t="s">
        <v>638</v>
      </c>
    </row>
    <row r="71" spans="1:7" x14ac:dyDescent="0.35">
      <c r="A71" s="287" t="s">
        <v>580</v>
      </c>
      <c r="B71" s="217">
        <f>B70+1</f>
        <v>7</v>
      </c>
      <c r="C71" s="391" t="s">
        <v>639</v>
      </c>
      <c r="D71" s="12">
        <v>1</v>
      </c>
      <c r="E71" s="32" t="s">
        <v>640</v>
      </c>
      <c r="F71" t="s">
        <v>641</v>
      </c>
    </row>
    <row r="72" spans="1:7" x14ac:dyDescent="0.35">
      <c r="A72" s="124"/>
      <c r="B72" s="143"/>
      <c r="C72" s="347"/>
      <c r="D72" s="12">
        <v>2</v>
      </c>
      <c r="E72" s="32" t="s">
        <v>642</v>
      </c>
    </row>
    <row r="73" spans="1:7" x14ac:dyDescent="0.35">
      <c r="A73" s="124"/>
      <c r="B73" s="143"/>
      <c r="C73" s="347"/>
      <c r="D73" s="12">
        <v>3</v>
      </c>
      <c r="E73" s="32" t="s">
        <v>643</v>
      </c>
      <c r="G73" s="308" t="s">
        <v>767</v>
      </c>
    </row>
    <row r="74" spans="1:7" x14ac:dyDescent="0.35">
      <c r="A74" s="124"/>
      <c r="B74" s="143"/>
      <c r="C74" s="347"/>
      <c r="D74" s="12">
        <v>-88</v>
      </c>
      <c r="E74" s="32" t="s">
        <v>7</v>
      </c>
    </row>
    <row r="75" spans="1:7" x14ac:dyDescent="0.35">
      <c r="A75" s="124"/>
      <c r="B75" s="143"/>
      <c r="C75" s="347"/>
      <c r="D75" s="12">
        <v>-99</v>
      </c>
      <c r="E75" s="32" t="s">
        <v>20</v>
      </c>
    </row>
    <row r="76" spans="1:7" x14ac:dyDescent="0.35">
      <c r="A76" s="287" t="s">
        <v>580</v>
      </c>
      <c r="B76" s="217">
        <f>B71+1</f>
        <v>8</v>
      </c>
      <c r="C76" s="391" t="s">
        <v>644</v>
      </c>
      <c r="D76" s="8">
        <v>1</v>
      </c>
      <c r="E76" s="277" t="s">
        <v>645</v>
      </c>
      <c r="F76" t="s">
        <v>646</v>
      </c>
    </row>
    <row r="77" spans="1:7" x14ac:dyDescent="0.35">
      <c r="A77" s="287"/>
      <c r="B77" s="158"/>
      <c r="C77" s="347"/>
      <c r="D77" s="12">
        <f>D76+1</f>
        <v>2</v>
      </c>
      <c r="E77" s="32" t="s">
        <v>647</v>
      </c>
    </row>
    <row r="78" spans="1:7" x14ac:dyDescent="0.35">
      <c r="A78" s="287"/>
      <c r="B78" s="158"/>
      <c r="C78" s="347"/>
      <c r="D78" s="12">
        <f t="shared" ref="D78:D84" si="2">D77+1</f>
        <v>3</v>
      </c>
      <c r="E78" s="32" t="s">
        <v>648</v>
      </c>
    </row>
    <row r="79" spans="1:7" x14ac:dyDescent="0.35">
      <c r="A79" s="287"/>
      <c r="B79" s="158"/>
      <c r="C79" s="347"/>
      <c r="D79" s="12">
        <f t="shared" si="2"/>
        <v>4</v>
      </c>
      <c r="E79" s="32" t="s">
        <v>649</v>
      </c>
    </row>
    <row r="80" spans="1:7" ht="26" x14ac:dyDescent="0.35">
      <c r="A80" s="287"/>
      <c r="B80" s="158"/>
      <c r="C80" s="347"/>
      <c r="D80" s="12">
        <f t="shared" si="2"/>
        <v>5</v>
      </c>
      <c r="E80" s="32" t="s">
        <v>650</v>
      </c>
    </row>
    <row r="81" spans="1:6" x14ac:dyDescent="0.35">
      <c r="A81" s="287"/>
      <c r="B81" s="158"/>
      <c r="C81" s="347"/>
      <c r="D81" s="12">
        <f t="shared" si="2"/>
        <v>6</v>
      </c>
      <c r="E81" s="32" t="s">
        <v>651</v>
      </c>
    </row>
    <row r="82" spans="1:6" x14ac:dyDescent="0.35">
      <c r="A82" s="287"/>
      <c r="B82" s="158"/>
      <c r="C82" s="347"/>
      <c r="D82" s="12">
        <f t="shared" si="2"/>
        <v>7</v>
      </c>
      <c r="E82" s="32" t="s">
        <v>652</v>
      </c>
    </row>
    <row r="83" spans="1:6" x14ac:dyDescent="0.35">
      <c r="A83" s="287"/>
      <c r="B83" s="158"/>
      <c r="C83" s="347"/>
      <c r="D83" s="12">
        <f t="shared" si="2"/>
        <v>8</v>
      </c>
      <c r="E83" s="32" t="s">
        <v>653</v>
      </c>
    </row>
    <row r="84" spans="1:6" x14ac:dyDescent="0.35">
      <c r="A84" s="287"/>
      <c r="B84" s="158"/>
      <c r="C84" s="347"/>
      <c r="D84" s="12">
        <f t="shared" si="2"/>
        <v>9</v>
      </c>
      <c r="E84" s="32" t="s">
        <v>654</v>
      </c>
    </row>
    <row r="85" spans="1:6" x14ac:dyDescent="0.35">
      <c r="A85" s="287"/>
      <c r="B85" s="158"/>
      <c r="C85" s="347"/>
      <c r="D85" s="12">
        <v>-66</v>
      </c>
      <c r="E85" s="32" t="s">
        <v>655</v>
      </c>
    </row>
    <row r="86" spans="1:6" x14ac:dyDescent="0.35">
      <c r="A86" s="287"/>
      <c r="B86" s="158"/>
      <c r="C86" s="347"/>
      <c r="D86" s="12">
        <v>-88</v>
      </c>
      <c r="E86" s="32" t="s">
        <v>7</v>
      </c>
    </row>
    <row r="87" spans="1:6" x14ac:dyDescent="0.35">
      <c r="A87" s="291"/>
      <c r="B87" s="159"/>
      <c r="C87" s="376"/>
      <c r="D87" s="9">
        <v>-99</v>
      </c>
      <c r="E87" s="283" t="s">
        <v>20</v>
      </c>
    </row>
    <row r="88" spans="1:6" x14ac:dyDescent="0.35">
      <c r="A88" s="287" t="s">
        <v>580</v>
      </c>
      <c r="B88" s="217">
        <f>B76+1</f>
        <v>9</v>
      </c>
      <c r="C88" s="380" t="s">
        <v>656</v>
      </c>
      <c r="D88" s="8">
        <v>1</v>
      </c>
      <c r="E88" s="277" t="s">
        <v>4</v>
      </c>
      <c r="F88" t="s">
        <v>657</v>
      </c>
    </row>
    <row r="89" spans="1:6" x14ac:dyDescent="0.35">
      <c r="A89" s="287"/>
      <c r="B89" s="158"/>
      <c r="C89" s="362"/>
      <c r="D89" s="12">
        <v>2</v>
      </c>
      <c r="E89" s="32" t="s">
        <v>5</v>
      </c>
    </row>
    <row r="90" spans="1:6" x14ac:dyDescent="0.35">
      <c r="A90" s="287"/>
      <c r="B90" s="158"/>
      <c r="C90" s="362"/>
      <c r="D90" s="12">
        <v>-88</v>
      </c>
      <c r="E90" s="32" t="s">
        <v>7</v>
      </c>
    </row>
    <row r="91" spans="1:6" x14ac:dyDescent="0.35">
      <c r="A91" s="288"/>
      <c r="B91" s="159"/>
      <c r="C91" s="363"/>
      <c r="D91" s="9">
        <v>-99</v>
      </c>
      <c r="E91" s="283" t="s">
        <v>20</v>
      </c>
    </row>
    <row r="92" spans="1:6" x14ac:dyDescent="0.35">
      <c r="A92" s="287" t="s">
        <v>580</v>
      </c>
      <c r="B92" s="217">
        <f>B88+1</f>
        <v>10</v>
      </c>
      <c r="C92" s="380" t="s">
        <v>770</v>
      </c>
      <c r="D92" s="12">
        <v>1</v>
      </c>
      <c r="E92" s="79" t="s">
        <v>658</v>
      </c>
      <c r="F92" t="s">
        <v>659</v>
      </c>
    </row>
    <row r="93" spans="1:6" x14ac:dyDescent="0.35">
      <c r="A93" s="124"/>
      <c r="B93" s="143"/>
      <c r="C93" s="362"/>
      <c r="D93" s="12">
        <f>D92+1</f>
        <v>2</v>
      </c>
      <c r="E93" s="79" t="s">
        <v>660</v>
      </c>
    </row>
    <row r="94" spans="1:6" ht="42" customHeight="1" x14ac:dyDescent="0.35">
      <c r="A94" s="124"/>
      <c r="B94" s="143"/>
      <c r="C94" s="362"/>
      <c r="D94" s="12">
        <f t="shared" ref="D94:D103" si="3">D93+1</f>
        <v>3</v>
      </c>
      <c r="E94" s="32" t="s">
        <v>661</v>
      </c>
    </row>
    <row r="95" spans="1:6" x14ac:dyDescent="0.35">
      <c r="A95" s="287"/>
      <c r="B95" s="158"/>
      <c r="C95" s="24"/>
      <c r="D95" s="12">
        <f t="shared" si="3"/>
        <v>4</v>
      </c>
      <c r="E95" s="79" t="s">
        <v>662</v>
      </c>
    </row>
    <row r="96" spans="1:6" x14ac:dyDescent="0.35">
      <c r="A96" s="124"/>
      <c r="B96" s="143"/>
      <c r="C96" s="278"/>
      <c r="D96" s="12">
        <f t="shared" si="3"/>
        <v>5</v>
      </c>
      <c r="E96" s="79" t="s">
        <v>663</v>
      </c>
    </row>
    <row r="97" spans="1:6" x14ac:dyDescent="0.35">
      <c r="A97" s="124"/>
      <c r="B97" s="143"/>
      <c r="C97" s="278"/>
      <c r="D97" s="12">
        <f t="shared" si="3"/>
        <v>6</v>
      </c>
      <c r="E97" s="79" t="s">
        <v>664</v>
      </c>
    </row>
    <row r="98" spans="1:6" x14ac:dyDescent="0.35">
      <c r="A98" s="124"/>
      <c r="B98" s="143"/>
      <c r="C98" s="24"/>
      <c r="D98" s="12">
        <f t="shared" si="3"/>
        <v>7</v>
      </c>
      <c r="E98" s="79" t="s">
        <v>665</v>
      </c>
    </row>
    <row r="99" spans="1:6" x14ac:dyDescent="0.35">
      <c r="A99" s="124"/>
      <c r="B99" s="143"/>
      <c r="C99" s="24"/>
      <c r="D99" s="12">
        <f t="shared" si="3"/>
        <v>8</v>
      </c>
      <c r="E99" s="79" t="s">
        <v>666</v>
      </c>
    </row>
    <row r="100" spans="1:6" x14ac:dyDescent="0.35">
      <c r="A100" s="124"/>
      <c r="B100" s="143"/>
      <c r="C100" s="24"/>
      <c r="D100" s="12">
        <f t="shared" si="3"/>
        <v>9</v>
      </c>
      <c r="E100" s="79" t="s">
        <v>667</v>
      </c>
    </row>
    <row r="101" spans="1:6" x14ac:dyDescent="0.35">
      <c r="A101" s="287"/>
      <c r="B101" s="158"/>
      <c r="C101" s="24"/>
      <c r="D101" s="12">
        <f t="shared" si="3"/>
        <v>10</v>
      </c>
      <c r="E101" s="79" t="s">
        <v>668</v>
      </c>
    </row>
    <row r="102" spans="1:6" x14ac:dyDescent="0.35">
      <c r="A102" s="287"/>
      <c r="B102" s="158"/>
      <c r="C102" s="24"/>
      <c r="D102" s="12">
        <f t="shared" si="3"/>
        <v>11</v>
      </c>
      <c r="E102" s="79" t="s">
        <v>669</v>
      </c>
    </row>
    <row r="103" spans="1:6" x14ac:dyDescent="0.35">
      <c r="A103" s="124"/>
      <c r="B103" s="143"/>
      <c r="C103" s="24"/>
      <c r="D103" s="12">
        <f t="shared" si="3"/>
        <v>12</v>
      </c>
      <c r="E103" s="32" t="s">
        <v>670</v>
      </c>
    </row>
    <row r="104" spans="1:6" x14ac:dyDescent="0.35">
      <c r="A104" s="287"/>
      <c r="B104" s="158"/>
      <c r="C104" s="24"/>
      <c r="D104" s="12">
        <v>-66</v>
      </c>
      <c r="E104" s="32" t="s">
        <v>671</v>
      </c>
    </row>
    <row r="105" spans="1:6" x14ac:dyDescent="0.35">
      <c r="A105" s="287"/>
      <c r="B105" s="158"/>
      <c r="C105" s="24"/>
      <c r="D105" s="12">
        <v>-88</v>
      </c>
      <c r="E105" s="32" t="s">
        <v>7</v>
      </c>
    </row>
    <row r="106" spans="1:6" x14ac:dyDescent="0.35">
      <c r="A106" s="288"/>
      <c r="B106" s="159"/>
      <c r="C106" s="212"/>
      <c r="D106" s="9">
        <v>-99</v>
      </c>
      <c r="E106" s="283" t="s">
        <v>20</v>
      </c>
    </row>
    <row r="107" spans="1:6" ht="26" x14ac:dyDescent="0.35">
      <c r="A107" s="287" t="s">
        <v>580</v>
      </c>
      <c r="B107" s="217">
        <f>B92+1</f>
        <v>11</v>
      </c>
      <c r="C107" s="380" t="s">
        <v>771</v>
      </c>
      <c r="D107" s="8">
        <v>1</v>
      </c>
      <c r="E107" s="312" t="s">
        <v>672</v>
      </c>
      <c r="F107" t="s">
        <v>673</v>
      </c>
    </row>
    <row r="108" spans="1:6" ht="26" x14ac:dyDescent="0.35">
      <c r="A108" s="124"/>
      <c r="B108" s="143"/>
      <c r="C108" s="362"/>
      <c r="D108" s="12">
        <f>D107+1</f>
        <v>2</v>
      </c>
      <c r="E108" s="79" t="s">
        <v>674</v>
      </c>
    </row>
    <row r="109" spans="1:6" ht="26" x14ac:dyDescent="0.35">
      <c r="A109" s="124"/>
      <c r="B109" s="143"/>
      <c r="C109" s="362"/>
      <c r="D109" s="12">
        <f>D108+1</f>
        <v>3</v>
      </c>
      <c r="E109" s="32" t="s">
        <v>675</v>
      </c>
    </row>
    <row r="110" spans="1:6" x14ac:dyDescent="0.35">
      <c r="A110" s="287"/>
      <c r="B110" s="158"/>
      <c r="C110" s="24"/>
      <c r="D110" s="12">
        <f>D109+1</f>
        <v>4</v>
      </c>
      <c r="E110" s="79" t="s">
        <v>676</v>
      </c>
    </row>
    <row r="111" spans="1:6" x14ac:dyDescent="0.35">
      <c r="A111" s="288"/>
      <c r="B111" s="159"/>
      <c r="C111" s="212"/>
      <c r="D111" s="9">
        <v>-88</v>
      </c>
      <c r="E111" s="283" t="s">
        <v>7</v>
      </c>
    </row>
    <row r="112" spans="1:6" s="292" customFormat="1" ht="17.25" customHeight="1" x14ac:dyDescent="0.35">
      <c r="A112" s="287" t="s">
        <v>580</v>
      </c>
      <c r="B112" s="217">
        <v>12</v>
      </c>
      <c r="C112" s="524" t="s">
        <v>677</v>
      </c>
      <c r="D112" s="8">
        <v>1</v>
      </c>
      <c r="E112" s="144" t="s">
        <v>4</v>
      </c>
      <c r="F112" s="292" t="s">
        <v>678</v>
      </c>
    </row>
    <row r="113" spans="1:12" s="292" customFormat="1" ht="58" x14ac:dyDescent="0.35">
      <c r="A113" s="293"/>
      <c r="C113" s="525"/>
      <c r="D113" s="12">
        <v>2</v>
      </c>
      <c r="E113" s="23" t="s">
        <v>5</v>
      </c>
      <c r="G113" s="292" t="s">
        <v>772</v>
      </c>
    </row>
    <row r="114" spans="1:12" s="292" customFormat="1" x14ac:dyDescent="0.35">
      <c r="A114" s="293"/>
      <c r="C114" s="294"/>
      <c r="D114" s="12">
        <v>-88</v>
      </c>
      <c r="E114" s="23" t="s">
        <v>7</v>
      </c>
    </row>
    <row r="115" spans="1:12" s="292" customFormat="1" x14ac:dyDescent="0.35">
      <c r="A115" s="293"/>
      <c r="C115" s="294"/>
      <c r="D115" s="12">
        <v>-99</v>
      </c>
      <c r="E115" s="23" t="s">
        <v>20</v>
      </c>
    </row>
    <row r="116" spans="1:12" s="292" customFormat="1" ht="41.25" customHeight="1" x14ac:dyDescent="0.35">
      <c r="A116" s="295" t="s">
        <v>580</v>
      </c>
      <c r="B116" s="18">
        <v>12</v>
      </c>
      <c r="C116" s="296" t="s">
        <v>679</v>
      </c>
      <c r="D116" s="526" t="s">
        <v>78</v>
      </c>
      <c r="E116" s="527"/>
      <c r="F116" s="297" t="s">
        <v>680</v>
      </c>
      <c r="G116" s="297"/>
      <c r="H116" s="297"/>
      <c r="I116" s="297"/>
      <c r="J116" s="297"/>
      <c r="K116" s="297"/>
      <c r="L116" s="297"/>
    </row>
    <row r="117" spans="1:12" s="292" customFormat="1" ht="39" customHeight="1" x14ac:dyDescent="0.35">
      <c r="A117" s="295" t="s">
        <v>580</v>
      </c>
      <c r="B117" s="18">
        <v>13</v>
      </c>
      <c r="C117" s="296" t="s">
        <v>773</v>
      </c>
      <c r="D117" s="526" t="s">
        <v>681</v>
      </c>
      <c r="E117" s="527"/>
      <c r="F117" s="297" t="s">
        <v>682</v>
      </c>
      <c r="G117" s="297"/>
      <c r="H117" s="297"/>
      <c r="I117" s="297"/>
      <c r="J117" s="297"/>
      <c r="K117" s="297"/>
      <c r="L117" s="297"/>
    </row>
    <row r="118" spans="1:12" ht="13.5" customHeight="1" x14ac:dyDescent="0.35"/>
    <row r="119" spans="1:12" x14ac:dyDescent="0.35">
      <c r="A119" s="523" t="s">
        <v>683</v>
      </c>
      <c r="B119" s="523"/>
      <c r="C119" s="523"/>
      <c r="D119" s="523"/>
      <c r="E119" s="289"/>
    </row>
    <row r="120" spans="1:12" ht="49.5" customHeight="1" x14ac:dyDescent="0.35">
      <c r="A120" s="374" t="s">
        <v>774</v>
      </c>
      <c r="B120" s="462"/>
      <c r="C120" s="462"/>
      <c r="D120" s="462"/>
      <c r="E120" s="462"/>
    </row>
    <row r="121" spans="1:12" x14ac:dyDescent="0.35">
      <c r="A121" s="381" t="s">
        <v>580</v>
      </c>
      <c r="B121" s="351">
        <f>B46+1</f>
        <v>16</v>
      </c>
      <c r="C121" s="380" t="s">
        <v>684</v>
      </c>
      <c r="D121" s="8">
        <v>1</v>
      </c>
      <c r="E121" s="144" t="s">
        <v>4</v>
      </c>
      <c r="F121" t="s">
        <v>685</v>
      </c>
    </row>
    <row r="122" spans="1:12" x14ac:dyDescent="0.35">
      <c r="A122" s="382"/>
      <c r="B122" s="383"/>
      <c r="C122" s="362"/>
      <c r="D122" s="12">
        <v>2</v>
      </c>
      <c r="E122" s="23" t="s">
        <v>5</v>
      </c>
    </row>
    <row r="123" spans="1:12" x14ac:dyDescent="0.35">
      <c r="A123" s="97"/>
      <c r="B123" s="23"/>
      <c r="C123" s="362"/>
      <c r="D123" s="12">
        <v>-88</v>
      </c>
      <c r="E123" s="23" t="s">
        <v>7</v>
      </c>
    </row>
    <row r="124" spans="1:12" x14ac:dyDescent="0.35">
      <c r="A124" s="98"/>
      <c r="B124" s="145"/>
      <c r="C124" s="363"/>
      <c r="D124" s="9">
        <v>-99</v>
      </c>
      <c r="E124" s="145" t="s">
        <v>20</v>
      </c>
    </row>
    <row r="125" spans="1:12" x14ac:dyDescent="0.35">
      <c r="A125" s="97" t="s">
        <v>580</v>
      </c>
      <c r="B125" s="143">
        <f>B121+1</f>
        <v>17</v>
      </c>
      <c r="C125" s="380" t="s">
        <v>686</v>
      </c>
      <c r="D125" s="8">
        <v>1</v>
      </c>
      <c r="E125" s="149" t="s">
        <v>687</v>
      </c>
      <c r="F125" t="s">
        <v>688</v>
      </c>
    </row>
    <row r="126" spans="1:12" x14ac:dyDescent="0.35">
      <c r="A126" s="97"/>
      <c r="B126" s="23"/>
      <c r="C126" s="362"/>
      <c r="D126" s="12">
        <f>D125+1</f>
        <v>2</v>
      </c>
      <c r="E126" s="149" t="s">
        <v>689</v>
      </c>
    </row>
    <row r="127" spans="1:12" ht="14.25" customHeight="1" x14ac:dyDescent="0.35">
      <c r="A127" s="97"/>
      <c r="B127" s="23"/>
      <c r="C127" s="362"/>
      <c r="D127" s="12">
        <f>D126+1</f>
        <v>3</v>
      </c>
      <c r="E127" s="149" t="s">
        <v>690</v>
      </c>
    </row>
    <row r="128" spans="1:12" x14ac:dyDescent="0.35">
      <c r="A128" s="97"/>
      <c r="B128" s="23"/>
      <c r="C128" s="362"/>
      <c r="D128" s="12">
        <f>D127+1</f>
        <v>4</v>
      </c>
      <c r="E128" s="149" t="s">
        <v>691</v>
      </c>
    </row>
    <row r="129" spans="1:6" ht="26" x14ac:dyDescent="0.35">
      <c r="A129" s="97"/>
      <c r="B129" s="23"/>
      <c r="C129" s="362"/>
      <c r="D129" s="12">
        <f>D128+1</f>
        <v>5</v>
      </c>
      <c r="E129" s="149" t="s">
        <v>692</v>
      </c>
    </row>
    <row r="130" spans="1:6" x14ac:dyDescent="0.35">
      <c r="A130" s="97"/>
      <c r="B130" s="23"/>
      <c r="C130" s="274"/>
      <c r="D130" s="12">
        <f>D129+1</f>
        <v>6</v>
      </c>
      <c r="E130" s="149" t="s">
        <v>693</v>
      </c>
    </row>
    <row r="131" spans="1:6" x14ac:dyDescent="0.35">
      <c r="A131" s="97"/>
      <c r="B131" s="23"/>
      <c r="C131" s="274"/>
      <c r="D131" s="12">
        <v>7</v>
      </c>
      <c r="E131" s="149" t="s">
        <v>694</v>
      </c>
    </row>
    <row r="132" spans="1:6" x14ac:dyDescent="0.35">
      <c r="A132" s="12"/>
      <c r="B132" s="143"/>
      <c r="C132" s="274"/>
      <c r="D132" s="12">
        <v>96</v>
      </c>
      <c r="E132" s="113" t="s">
        <v>695</v>
      </c>
    </row>
    <row r="133" spans="1:6" x14ac:dyDescent="0.35">
      <c r="A133" s="97"/>
      <c r="B133" s="23"/>
      <c r="C133" s="97"/>
      <c r="D133" s="12">
        <v>-88</v>
      </c>
      <c r="E133" s="72" t="s">
        <v>7</v>
      </c>
    </row>
    <row r="134" spans="1:6" x14ac:dyDescent="0.35">
      <c r="A134" s="98"/>
      <c r="B134" s="145"/>
      <c r="C134" s="98"/>
      <c r="D134" s="9">
        <v>-99</v>
      </c>
      <c r="E134" s="298" t="s">
        <v>20</v>
      </c>
    </row>
    <row r="135" spans="1:6" x14ac:dyDescent="0.35">
      <c r="A135" s="381" t="s">
        <v>580</v>
      </c>
      <c r="B135" s="351">
        <f>B125+1</f>
        <v>18</v>
      </c>
      <c r="C135" s="380" t="s">
        <v>804</v>
      </c>
      <c r="D135" s="8">
        <v>1</v>
      </c>
      <c r="E135" s="67" t="s">
        <v>615</v>
      </c>
      <c r="F135" t="s">
        <v>696</v>
      </c>
    </row>
    <row r="136" spans="1:6" ht="26" x14ac:dyDescent="0.35">
      <c r="A136" s="382"/>
      <c r="B136" s="383"/>
      <c r="C136" s="362"/>
      <c r="D136" s="12">
        <f>D135+1</f>
        <v>2</v>
      </c>
      <c r="E136" s="23" t="s">
        <v>697</v>
      </c>
    </row>
    <row r="137" spans="1:6" x14ac:dyDescent="0.35">
      <c r="A137" s="12"/>
      <c r="B137" s="143"/>
      <c r="C137" s="274"/>
      <c r="D137" s="12">
        <f>D136+1</f>
        <v>3</v>
      </c>
      <c r="E137" s="72" t="s">
        <v>619</v>
      </c>
    </row>
    <row r="138" spans="1:6" x14ac:dyDescent="0.35">
      <c r="A138" s="12"/>
      <c r="B138" s="143"/>
      <c r="C138" s="274"/>
      <c r="D138" s="12">
        <f t="shared" ref="D138:D149" si="4">D137+1</f>
        <v>4</v>
      </c>
      <c r="E138" s="72" t="s">
        <v>620</v>
      </c>
    </row>
    <row r="139" spans="1:6" x14ac:dyDescent="0.35">
      <c r="A139" s="12"/>
      <c r="B139" s="143"/>
      <c r="C139" s="274"/>
      <c r="D139" s="12">
        <f t="shared" si="4"/>
        <v>5</v>
      </c>
      <c r="E139" s="23" t="s">
        <v>621</v>
      </c>
    </row>
    <row r="140" spans="1:6" ht="26" x14ac:dyDescent="0.35">
      <c r="A140" s="12"/>
      <c r="B140" s="143"/>
      <c r="C140" s="274"/>
      <c r="D140" s="12">
        <f t="shared" si="4"/>
        <v>6</v>
      </c>
      <c r="E140" s="158" t="s">
        <v>622</v>
      </c>
    </row>
    <row r="141" spans="1:6" x14ac:dyDescent="0.35">
      <c r="A141" s="12"/>
      <c r="B141" s="143"/>
      <c r="C141" s="274"/>
      <c r="D141" s="12">
        <f t="shared" si="4"/>
        <v>7</v>
      </c>
      <c r="E141" s="158" t="s">
        <v>623</v>
      </c>
    </row>
    <row r="142" spans="1:6" x14ac:dyDescent="0.35">
      <c r="A142" s="30"/>
      <c r="B142" s="160"/>
      <c r="C142" s="32"/>
      <c r="D142" s="12">
        <f t="shared" si="4"/>
        <v>8</v>
      </c>
      <c r="E142" s="158" t="s">
        <v>624</v>
      </c>
    </row>
    <row r="143" spans="1:6" ht="26" x14ac:dyDescent="0.35">
      <c r="A143" s="30"/>
      <c r="B143" s="160"/>
      <c r="C143" s="32"/>
      <c r="D143" s="12">
        <f t="shared" si="4"/>
        <v>9</v>
      </c>
      <c r="E143" s="158" t="s">
        <v>698</v>
      </c>
    </row>
    <row r="144" spans="1:6" x14ac:dyDescent="0.35">
      <c r="A144" s="12"/>
      <c r="B144" s="143"/>
      <c r="C144" s="274"/>
      <c r="D144" s="12">
        <f t="shared" si="4"/>
        <v>10</v>
      </c>
      <c r="E144" s="158" t="s">
        <v>626</v>
      </c>
    </row>
    <row r="145" spans="1:5" ht="22.5" customHeight="1" x14ac:dyDescent="0.35">
      <c r="A145" s="12"/>
      <c r="B145" s="143"/>
      <c r="C145" s="274"/>
      <c r="D145" s="12">
        <f t="shared" si="4"/>
        <v>11</v>
      </c>
      <c r="E145" s="158" t="s">
        <v>775</v>
      </c>
    </row>
    <row r="146" spans="1:5" ht="39" x14ac:dyDescent="0.35">
      <c r="A146" s="12"/>
      <c r="B146" s="143"/>
      <c r="C146" s="274"/>
      <c r="D146" s="12">
        <f t="shared" si="4"/>
        <v>12</v>
      </c>
      <c r="E146" s="158" t="s">
        <v>628</v>
      </c>
    </row>
    <row r="147" spans="1:5" x14ac:dyDescent="0.35">
      <c r="A147" s="12"/>
      <c r="B147" s="143"/>
      <c r="C147" s="274"/>
      <c r="D147" s="12">
        <f t="shared" si="4"/>
        <v>13</v>
      </c>
      <c r="E147" s="23" t="s">
        <v>629</v>
      </c>
    </row>
    <row r="148" spans="1:5" x14ac:dyDescent="0.35">
      <c r="A148" s="12"/>
      <c r="B148" s="143"/>
      <c r="C148" s="274"/>
      <c r="D148" s="12">
        <f t="shared" si="4"/>
        <v>14</v>
      </c>
      <c r="E148" s="72" t="s">
        <v>630</v>
      </c>
    </row>
    <row r="149" spans="1:5" x14ac:dyDescent="0.35">
      <c r="A149" s="12"/>
      <c r="B149" s="143"/>
      <c r="C149" s="274"/>
      <c r="D149" s="12">
        <f t="shared" si="4"/>
        <v>15</v>
      </c>
      <c r="E149" s="341" t="s">
        <v>632</v>
      </c>
    </row>
    <row r="150" spans="1:5" ht="26" x14ac:dyDescent="0.35">
      <c r="A150" s="12"/>
      <c r="B150" s="143"/>
      <c r="C150" s="274"/>
      <c r="D150" s="12">
        <v>16</v>
      </c>
      <c r="E150" s="23" t="s">
        <v>617</v>
      </c>
    </row>
    <row r="151" spans="1:5" x14ac:dyDescent="0.35">
      <c r="A151" s="12"/>
      <c r="B151" s="143"/>
      <c r="C151" s="274"/>
      <c r="D151" s="12">
        <v>17</v>
      </c>
      <c r="E151" s="23" t="s">
        <v>699</v>
      </c>
    </row>
    <row r="152" spans="1:5" x14ac:dyDescent="0.35">
      <c r="A152" s="12"/>
      <c r="B152" s="143"/>
      <c r="C152" s="274"/>
      <c r="D152" s="12">
        <v>96</v>
      </c>
      <c r="E152" s="158" t="s">
        <v>695</v>
      </c>
    </row>
    <row r="153" spans="1:5" x14ac:dyDescent="0.35">
      <c r="A153" s="97"/>
      <c r="B153" s="23"/>
      <c r="C153" s="97"/>
      <c r="D153" s="12">
        <v>-88</v>
      </c>
      <c r="E153" s="72" t="s">
        <v>7</v>
      </c>
    </row>
    <row r="154" spans="1:5" x14ac:dyDescent="0.35">
      <c r="A154" s="98"/>
      <c r="B154" s="145"/>
      <c r="C154" s="98"/>
      <c r="D154" s="9">
        <v>-99</v>
      </c>
      <c r="E154" s="74" t="s">
        <v>20</v>
      </c>
    </row>
  </sheetData>
  <mergeCells count="42">
    <mergeCell ref="A1:E1"/>
    <mergeCell ref="A2:B2"/>
    <mergeCell ref="D2:E2"/>
    <mergeCell ref="A3:A4"/>
    <mergeCell ref="B3:B4"/>
    <mergeCell ref="C3:C6"/>
    <mergeCell ref="A7:A8"/>
    <mergeCell ref="B7:B8"/>
    <mergeCell ref="C7:C9"/>
    <mergeCell ref="A18:A19"/>
    <mergeCell ref="C18:C21"/>
    <mergeCell ref="D22:E22"/>
    <mergeCell ref="A24:A25"/>
    <mergeCell ref="B24:B25"/>
    <mergeCell ref="C24:C26"/>
    <mergeCell ref="A28:D28"/>
    <mergeCell ref="A23:E23"/>
    <mergeCell ref="A29:E29"/>
    <mergeCell ref="A46:A47"/>
    <mergeCell ref="B46:B47"/>
    <mergeCell ref="C46:C47"/>
    <mergeCell ref="A68:E68"/>
    <mergeCell ref="C30:C31"/>
    <mergeCell ref="A69:E69"/>
    <mergeCell ref="D70:E70"/>
    <mergeCell ref="C71:C75"/>
    <mergeCell ref="C76:C87"/>
    <mergeCell ref="C88:C91"/>
    <mergeCell ref="C92:C94"/>
    <mergeCell ref="C107:C109"/>
    <mergeCell ref="C112:C113"/>
    <mergeCell ref="D116:E116"/>
    <mergeCell ref="D117:E117"/>
    <mergeCell ref="C125:C129"/>
    <mergeCell ref="A135:A136"/>
    <mergeCell ref="B135:B136"/>
    <mergeCell ref="C135:C136"/>
    <mergeCell ref="A119:D119"/>
    <mergeCell ref="A120:E120"/>
    <mergeCell ref="A121:A122"/>
    <mergeCell ref="B121:B122"/>
    <mergeCell ref="C121:C124"/>
  </mergeCells>
  <pageMargins left="0.7" right="0.7" top="0.75" bottom="0.75" header="0.3" footer="0.3"/>
  <pageSetup orientation="portrait" r:id="rId1"/>
  <headerFooter>
    <oddHeader>&amp;C&amp;"-,Bold"F. PLANS</oddHeader>
  </headerFooter>
  <rowBreaks count="5" manualBreakCount="5">
    <brk id="27" max="16383" man="1"/>
    <brk id="45" max="16383" man="1"/>
    <brk id="67" max="16383" man="1"/>
    <brk id="91" max="16383" man="1"/>
    <brk id="11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4"/>
  <sheetViews>
    <sheetView showWhiteSpace="0" view="pageLayout" topLeftCell="B1" zoomScaleNormal="80" workbookViewId="0">
      <selection activeCell="B3" sqref="B3:F3"/>
    </sheetView>
  </sheetViews>
  <sheetFormatPr defaultRowHeight="14.5" x14ac:dyDescent="0.35"/>
  <cols>
    <col min="1" max="1" width="0" hidden="1" customWidth="1"/>
    <col min="2" max="2" width="4.7265625" customWidth="1"/>
    <col min="3" max="3" width="13.1796875" customWidth="1"/>
    <col min="4" max="4" width="24.26953125" customWidth="1"/>
    <col min="5" max="5" width="36.81640625" customWidth="1"/>
    <col min="6" max="6" width="29.453125" customWidth="1"/>
    <col min="7" max="7" width="5" bestFit="1" customWidth="1"/>
    <col min="8" max="8" width="58.1796875" bestFit="1" customWidth="1"/>
  </cols>
  <sheetData>
    <row r="1" spans="2:7" ht="15" customHeight="1" x14ac:dyDescent="0.35">
      <c r="B1" s="399" t="s">
        <v>516</v>
      </c>
      <c r="C1" s="399"/>
      <c r="D1" s="399"/>
      <c r="E1" s="399"/>
      <c r="F1" s="399"/>
      <c r="G1" s="60"/>
    </row>
    <row r="2" spans="2:7" ht="9.75" customHeight="1" x14ac:dyDescent="0.35">
      <c r="B2" s="99"/>
      <c r="C2" s="99"/>
      <c r="D2" s="99"/>
      <c r="E2" s="99"/>
      <c r="F2" s="99"/>
      <c r="G2" s="100"/>
    </row>
    <row r="3" spans="2:7" ht="105.75" customHeight="1" x14ac:dyDescent="0.35">
      <c r="B3" s="539" t="s">
        <v>780</v>
      </c>
      <c r="C3" s="540"/>
      <c r="D3" s="540"/>
      <c r="E3" s="540"/>
      <c r="F3" s="540"/>
      <c r="G3" s="101"/>
    </row>
    <row r="4" spans="2:7" ht="18" customHeight="1" x14ac:dyDescent="0.35">
      <c r="B4" s="202" t="s">
        <v>170</v>
      </c>
      <c r="C4" s="536" t="s">
        <v>171</v>
      </c>
      <c r="D4" s="536"/>
      <c r="E4" s="536"/>
      <c r="F4" s="537"/>
    </row>
    <row r="5" spans="2:7" x14ac:dyDescent="0.35">
      <c r="B5" s="203" t="s">
        <v>52</v>
      </c>
      <c r="C5" s="535" t="s">
        <v>172</v>
      </c>
      <c r="D5" s="535"/>
      <c r="E5" s="535"/>
      <c r="F5" s="538"/>
    </row>
    <row r="6" spans="2:7" ht="15.75" customHeight="1" x14ac:dyDescent="0.35">
      <c r="B6" s="203" t="s">
        <v>53</v>
      </c>
      <c r="C6" s="535" t="s">
        <v>310</v>
      </c>
      <c r="D6" s="535"/>
      <c r="E6" s="535"/>
      <c r="F6" s="538"/>
    </row>
    <row r="7" spans="2:7" x14ac:dyDescent="0.35">
      <c r="B7" s="203" t="s">
        <v>173</v>
      </c>
      <c r="C7" s="535" t="s">
        <v>174</v>
      </c>
      <c r="D7" s="535"/>
      <c r="E7" s="535"/>
      <c r="F7" s="538"/>
    </row>
    <row r="8" spans="2:7" x14ac:dyDescent="0.35">
      <c r="B8" s="203" t="s">
        <v>54</v>
      </c>
      <c r="C8" s="535" t="s">
        <v>175</v>
      </c>
      <c r="D8" s="535"/>
      <c r="E8" s="535"/>
      <c r="F8" s="538"/>
    </row>
    <row r="9" spans="2:7" x14ac:dyDescent="0.35">
      <c r="B9" s="203" t="s">
        <v>176</v>
      </c>
      <c r="C9" s="535" t="s">
        <v>311</v>
      </c>
      <c r="D9" s="535"/>
      <c r="E9" s="535"/>
      <c r="F9" s="538"/>
    </row>
    <row r="10" spans="2:7" x14ac:dyDescent="0.35">
      <c r="B10" s="203" t="s">
        <v>56</v>
      </c>
      <c r="C10" s="535" t="s">
        <v>776</v>
      </c>
      <c r="D10" s="535"/>
      <c r="E10" s="535"/>
      <c r="F10" s="538"/>
    </row>
    <row r="11" spans="2:7" x14ac:dyDescent="0.35">
      <c r="B11" s="203" t="s">
        <v>177</v>
      </c>
      <c r="C11" s="535" t="s">
        <v>178</v>
      </c>
      <c r="D11" s="535"/>
      <c r="E11" s="535"/>
      <c r="F11" s="538"/>
    </row>
    <row r="12" spans="2:7" ht="17.25" customHeight="1" x14ac:dyDescent="0.35">
      <c r="B12" s="203" t="s">
        <v>219</v>
      </c>
      <c r="C12" s="535" t="s">
        <v>545</v>
      </c>
      <c r="D12" s="535"/>
      <c r="E12" s="535"/>
      <c r="F12" s="538"/>
    </row>
    <row r="13" spans="2:7" x14ac:dyDescent="0.35">
      <c r="B13" s="203" t="s">
        <v>220</v>
      </c>
      <c r="C13" s="535" t="s">
        <v>313</v>
      </c>
      <c r="D13" s="535"/>
      <c r="E13" s="535"/>
      <c r="F13" s="538"/>
    </row>
    <row r="14" spans="2:7" ht="15.75" customHeight="1" x14ac:dyDescent="0.35">
      <c r="B14" s="203" t="s">
        <v>375</v>
      </c>
      <c r="C14" s="535" t="s">
        <v>315</v>
      </c>
      <c r="D14" s="535"/>
      <c r="E14" s="535"/>
      <c r="F14" s="538"/>
    </row>
    <row r="15" spans="2:7" ht="15" customHeight="1" x14ac:dyDescent="0.35">
      <c r="B15" s="203" t="s">
        <v>312</v>
      </c>
      <c r="C15" s="535" t="s">
        <v>546</v>
      </c>
      <c r="D15" s="535"/>
      <c r="E15" s="535"/>
      <c r="F15" s="538"/>
    </row>
    <row r="16" spans="2:7" ht="15.75" customHeight="1" x14ac:dyDescent="0.35">
      <c r="B16" s="203" t="s">
        <v>314</v>
      </c>
      <c r="C16" s="535" t="s">
        <v>318</v>
      </c>
      <c r="D16" s="535"/>
      <c r="E16" s="535"/>
      <c r="F16" s="538"/>
    </row>
    <row r="17" spans="1:6" ht="17.25" customHeight="1" x14ac:dyDescent="0.35">
      <c r="B17" s="203" t="s">
        <v>316</v>
      </c>
      <c r="C17" s="535" t="s">
        <v>319</v>
      </c>
      <c r="D17" s="535"/>
      <c r="E17" s="535"/>
      <c r="F17" s="538"/>
    </row>
    <row r="18" spans="1:6" ht="15" customHeight="1" x14ac:dyDescent="0.35">
      <c r="B18" s="203" t="s">
        <v>317</v>
      </c>
      <c r="C18" s="535" t="s">
        <v>320</v>
      </c>
      <c r="D18" s="535"/>
      <c r="E18" s="535"/>
      <c r="F18" s="538"/>
    </row>
    <row r="19" spans="1:6" ht="15" customHeight="1" x14ac:dyDescent="0.35">
      <c r="B19" s="203" t="s">
        <v>507</v>
      </c>
      <c r="C19" s="535" t="s">
        <v>777</v>
      </c>
      <c r="D19" s="535"/>
      <c r="E19" s="535"/>
      <c r="F19" s="538"/>
    </row>
    <row r="20" spans="1:6" ht="15" customHeight="1" x14ac:dyDescent="0.35">
      <c r="B20" s="203" t="s">
        <v>321</v>
      </c>
      <c r="C20" s="535" t="s">
        <v>779</v>
      </c>
      <c r="D20" s="535"/>
      <c r="E20" s="535"/>
      <c r="F20" s="538"/>
    </row>
    <row r="21" spans="1:6" ht="15" customHeight="1" x14ac:dyDescent="0.35">
      <c r="B21" s="203" t="s">
        <v>322</v>
      </c>
      <c r="C21" s="535" t="s">
        <v>211</v>
      </c>
      <c r="D21" s="535"/>
      <c r="E21" s="535"/>
      <c r="F21" s="538"/>
    </row>
    <row r="22" spans="1:6" ht="15" customHeight="1" x14ac:dyDescent="0.35">
      <c r="B22" s="203" t="s">
        <v>323</v>
      </c>
      <c r="C22" s="535" t="s">
        <v>218</v>
      </c>
      <c r="D22" s="535"/>
      <c r="E22" s="535"/>
      <c r="F22" s="538"/>
    </row>
    <row r="23" spans="1:6" ht="15" customHeight="1" x14ac:dyDescent="0.35">
      <c r="B23" s="203" t="s">
        <v>325</v>
      </c>
      <c r="C23" s="535" t="s">
        <v>324</v>
      </c>
      <c r="D23" s="535"/>
      <c r="E23" s="535"/>
      <c r="F23" s="538"/>
    </row>
    <row r="24" spans="1:6" ht="15" customHeight="1" x14ac:dyDescent="0.35">
      <c r="B24" s="203" t="s">
        <v>326</v>
      </c>
      <c r="C24" s="535" t="s">
        <v>778</v>
      </c>
      <c r="D24" s="535"/>
      <c r="E24" s="535"/>
      <c r="F24" s="538"/>
    </row>
    <row r="25" spans="1:6" ht="19.5" customHeight="1" x14ac:dyDescent="0.35">
      <c r="B25" s="204" t="s">
        <v>469</v>
      </c>
      <c r="C25" s="205" t="s">
        <v>782</v>
      </c>
      <c r="D25" s="205"/>
      <c r="E25" s="205"/>
      <c r="F25" s="206"/>
    </row>
    <row r="26" spans="1:6" x14ac:dyDescent="0.35">
      <c r="B26" s="203" t="s">
        <v>783</v>
      </c>
      <c r="C26" s="535" t="s">
        <v>781</v>
      </c>
      <c r="D26" s="535"/>
      <c r="E26" s="210"/>
      <c r="F26" s="210"/>
    </row>
    <row r="27" spans="1:6" x14ac:dyDescent="0.35">
      <c r="B27" s="543" t="s">
        <v>521</v>
      </c>
      <c r="C27" s="543"/>
      <c r="D27" s="543"/>
      <c r="E27" s="543"/>
      <c r="F27" s="543"/>
    </row>
    <row r="28" spans="1:6" ht="17.25" customHeight="1" x14ac:dyDescent="0.35">
      <c r="B28" s="542" t="s">
        <v>517</v>
      </c>
      <c r="C28" s="542"/>
      <c r="D28" s="103" t="s">
        <v>518</v>
      </c>
      <c r="E28" s="103" t="s">
        <v>519</v>
      </c>
      <c r="F28" s="104" t="s">
        <v>520</v>
      </c>
    </row>
    <row r="29" spans="1:6" ht="22.5" customHeight="1" x14ac:dyDescent="0.35">
      <c r="B29" s="544" t="s">
        <v>503</v>
      </c>
      <c r="C29" s="544"/>
      <c r="D29" s="347" t="s">
        <v>504</v>
      </c>
      <c r="E29" s="362" t="s">
        <v>505</v>
      </c>
      <c r="F29" s="362" t="s">
        <v>506</v>
      </c>
    </row>
    <row r="30" spans="1:6" ht="81" customHeight="1" x14ac:dyDescent="0.35">
      <c r="B30" s="545"/>
      <c r="C30" s="545"/>
      <c r="D30" s="376"/>
      <c r="E30" s="363"/>
      <c r="F30" s="363"/>
    </row>
    <row r="31" spans="1:6" ht="69.75" customHeight="1" x14ac:dyDescent="0.35">
      <c r="B31" s="541"/>
      <c r="C31" s="541"/>
      <c r="D31" s="105" t="s">
        <v>265</v>
      </c>
      <c r="E31" s="105" t="s">
        <v>179</v>
      </c>
      <c r="F31" s="106" t="s">
        <v>180</v>
      </c>
    </row>
    <row r="32" spans="1:6" ht="22" customHeight="1" x14ac:dyDescent="0.35">
      <c r="A32" s="107" t="s">
        <v>181</v>
      </c>
      <c r="B32" s="108" t="s">
        <v>182</v>
      </c>
      <c r="C32" s="109"/>
      <c r="D32" s="309"/>
      <c r="E32" s="110" t="s">
        <v>183</v>
      </c>
      <c r="F32" s="110"/>
    </row>
    <row r="33" spans="1:11" ht="22" customHeight="1" x14ac:dyDescent="0.35">
      <c r="A33" s="107" t="s">
        <v>181</v>
      </c>
      <c r="B33" s="108" t="s">
        <v>184</v>
      </c>
      <c r="C33" s="109"/>
      <c r="D33" s="109"/>
      <c r="E33" s="110" t="s">
        <v>183</v>
      </c>
      <c r="F33" s="110"/>
    </row>
    <row r="34" spans="1:11" ht="22" customHeight="1" x14ac:dyDescent="0.35">
      <c r="A34" s="107" t="s">
        <v>181</v>
      </c>
      <c r="B34" s="108" t="s">
        <v>185</v>
      </c>
      <c r="C34" s="109"/>
      <c r="D34" s="109"/>
      <c r="E34" s="110" t="s">
        <v>183</v>
      </c>
      <c r="F34" s="110"/>
    </row>
    <row r="35" spans="1:11" ht="22" customHeight="1" x14ac:dyDescent="0.35">
      <c r="A35" s="107" t="s">
        <v>181</v>
      </c>
      <c r="B35" s="108" t="s">
        <v>186</v>
      </c>
      <c r="C35" s="109"/>
      <c r="D35" s="109"/>
      <c r="E35" s="110" t="s">
        <v>183</v>
      </c>
      <c r="F35" s="110"/>
      <c r="I35" s="102"/>
      <c r="J35" s="102"/>
      <c r="K35" s="102"/>
    </row>
    <row r="36" spans="1:11" ht="22" customHeight="1" x14ac:dyDescent="0.35">
      <c r="A36" s="107" t="s">
        <v>181</v>
      </c>
      <c r="B36" s="108" t="s">
        <v>187</v>
      </c>
      <c r="C36" s="109"/>
      <c r="D36" s="109"/>
      <c r="E36" s="110" t="s">
        <v>183</v>
      </c>
      <c r="F36" s="110"/>
      <c r="I36" s="102"/>
      <c r="J36" s="102"/>
      <c r="K36" s="102"/>
    </row>
    <row r="37" spans="1:11" ht="22" customHeight="1" x14ac:dyDescent="0.35">
      <c r="A37" s="107" t="s">
        <v>181</v>
      </c>
      <c r="B37" s="108" t="s">
        <v>188</v>
      </c>
      <c r="C37" s="109"/>
      <c r="D37" s="109"/>
      <c r="E37" s="110" t="s">
        <v>183</v>
      </c>
      <c r="F37" s="110"/>
      <c r="I37" s="102"/>
      <c r="J37" s="102"/>
      <c r="K37" s="102"/>
    </row>
    <row r="38" spans="1:11" ht="22" customHeight="1" x14ac:dyDescent="0.35">
      <c r="A38" s="107" t="s">
        <v>181</v>
      </c>
      <c r="B38" s="108" t="s">
        <v>189</v>
      </c>
      <c r="C38" s="109"/>
      <c r="D38" s="109"/>
      <c r="E38" s="110" t="s">
        <v>183</v>
      </c>
      <c r="F38" s="110"/>
      <c r="I38" s="102"/>
      <c r="J38" s="102"/>
      <c r="K38" s="102"/>
    </row>
    <row r="39" spans="1:11" ht="22" customHeight="1" x14ac:dyDescent="0.35">
      <c r="A39" s="107" t="s">
        <v>181</v>
      </c>
      <c r="B39" s="108" t="s">
        <v>190</v>
      </c>
      <c r="C39" s="109"/>
      <c r="D39" s="109"/>
      <c r="E39" s="110" t="s">
        <v>183</v>
      </c>
      <c r="F39" s="110"/>
      <c r="I39" s="102"/>
      <c r="J39" s="102"/>
      <c r="K39" s="102"/>
    </row>
    <row r="40" spans="1:11" s="100" customFormat="1" ht="22" customHeight="1" x14ac:dyDescent="0.3">
      <c r="A40" s="111" t="s">
        <v>181</v>
      </c>
      <c r="B40" s="108" t="s">
        <v>191</v>
      </c>
      <c r="C40" s="109"/>
      <c r="D40" s="109"/>
      <c r="E40" s="110" t="s">
        <v>183</v>
      </c>
      <c r="F40" s="110"/>
      <c r="I40" s="102"/>
      <c r="J40" s="102"/>
      <c r="K40" s="102"/>
    </row>
    <row r="41" spans="1:11" ht="22" customHeight="1" x14ac:dyDescent="0.35">
      <c r="A41" s="107" t="s">
        <v>181</v>
      </c>
      <c r="B41" s="108" t="s">
        <v>192</v>
      </c>
      <c r="C41" s="109"/>
      <c r="D41" s="109"/>
      <c r="E41" s="110" t="s">
        <v>183</v>
      </c>
      <c r="F41" s="110"/>
      <c r="I41" s="102"/>
      <c r="J41" s="102"/>
      <c r="K41" s="102"/>
    </row>
    <row r="42" spans="1:11" x14ac:dyDescent="0.35">
      <c r="B42" s="112"/>
      <c r="C42" s="112"/>
      <c r="D42" s="112"/>
      <c r="E42" s="112"/>
      <c r="F42" s="112"/>
      <c r="H42" s="102"/>
      <c r="I42" s="102"/>
    </row>
    <row r="43" spans="1:11" ht="27" customHeight="1" x14ac:dyDescent="0.35"/>
    <row r="44" spans="1:11" ht="18" customHeight="1" x14ac:dyDescent="0.35"/>
  </sheetData>
  <mergeCells count="32">
    <mergeCell ref="B1:F1"/>
    <mergeCell ref="B3:F3"/>
    <mergeCell ref="B31:C31"/>
    <mergeCell ref="F29:F30"/>
    <mergeCell ref="B28:C28"/>
    <mergeCell ref="B27:F27"/>
    <mergeCell ref="B29:C29"/>
    <mergeCell ref="D29:D30"/>
    <mergeCell ref="E29:E30"/>
    <mergeCell ref="B30:C30"/>
    <mergeCell ref="C23:F23"/>
    <mergeCell ref="C24:F24"/>
    <mergeCell ref="C7:F7"/>
    <mergeCell ref="C8:F8"/>
    <mergeCell ref="C9:F9"/>
    <mergeCell ref="C10:F10"/>
    <mergeCell ref="C26:D26"/>
    <mergeCell ref="C4:F4"/>
    <mergeCell ref="C5:F5"/>
    <mergeCell ref="C6:F6"/>
    <mergeCell ref="C16:F16"/>
    <mergeCell ref="C17:F17"/>
    <mergeCell ref="C15:F15"/>
    <mergeCell ref="C22:F22"/>
    <mergeCell ref="C11:F11"/>
    <mergeCell ref="C21:F21"/>
    <mergeCell ref="C12:F12"/>
    <mergeCell ref="C13:F13"/>
    <mergeCell ref="C14:F14"/>
    <mergeCell ref="C18:F18"/>
    <mergeCell ref="C19:F19"/>
    <mergeCell ref="C20:F20"/>
  </mergeCells>
  <pageMargins left="0.7" right="0.7" top="0.75" bottom="0.75" header="0.3" footer="0.3"/>
  <pageSetup orientation="landscape" r:id="rId1"/>
  <rowBreaks count="1" manualBreakCount="1">
    <brk id="2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1"/>
  <sheetViews>
    <sheetView view="pageLayout" zoomScaleNormal="100" workbookViewId="0">
      <selection activeCell="C1" sqref="C1"/>
    </sheetView>
  </sheetViews>
  <sheetFormatPr defaultColWidth="9.1796875" defaultRowHeight="13" x14ac:dyDescent="0.35"/>
  <cols>
    <col min="1" max="1" width="2.1796875" style="35" customWidth="1"/>
    <col min="2" max="2" width="2.81640625" style="35" customWidth="1"/>
    <col min="3" max="3" width="39.26953125" style="35" customWidth="1"/>
    <col min="4" max="4" width="4.81640625" style="19" customWidth="1"/>
    <col min="5" max="5" width="19.81640625" style="35" customWidth="1"/>
    <col min="6" max="6" width="4.453125" style="35" customWidth="1"/>
    <col min="7" max="7" width="16.26953125" style="35" customWidth="1"/>
    <col min="8" max="8" width="9.1796875" style="35" customWidth="1"/>
    <col min="9" max="16384" width="9.1796875" style="35"/>
  </cols>
  <sheetData>
    <row r="1" spans="1:8" ht="34.5" customHeight="1" x14ac:dyDescent="0.35">
      <c r="C1" s="78" t="s">
        <v>456</v>
      </c>
    </row>
    <row r="2" spans="1:8" ht="45.75" customHeight="1" x14ac:dyDescent="0.35">
      <c r="A2" s="565" t="s">
        <v>495</v>
      </c>
      <c r="B2" s="566"/>
      <c r="C2" s="566"/>
      <c r="D2" s="566"/>
      <c r="E2" s="566"/>
      <c r="F2" s="566"/>
      <c r="G2" s="566"/>
    </row>
    <row r="3" spans="1:8" ht="13.5" customHeight="1" x14ac:dyDescent="0.35">
      <c r="A3" s="120"/>
      <c r="B3" s="121"/>
      <c r="C3" s="121"/>
      <c r="D3" s="121"/>
      <c r="E3" s="122"/>
    </row>
    <row r="4" spans="1:8" ht="21" customHeight="1" x14ac:dyDescent="0.35">
      <c r="A4" s="517" t="s">
        <v>193</v>
      </c>
      <c r="B4" s="518"/>
      <c r="C4" s="219"/>
      <c r="D4" s="554" t="s">
        <v>210</v>
      </c>
      <c r="E4" s="356"/>
      <c r="F4" s="517" t="s">
        <v>195</v>
      </c>
      <c r="G4" s="560"/>
      <c r="H4" s="4"/>
    </row>
    <row r="5" spans="1:8" ht="12.75" customHeight="1" x14ac:dyDescent="0.35">
      <c r="A5" s="503" t="s">
        <v>266</v>
      </c>
      <c r="B5" s="559"/>
      <c r="C5" s="559"/>
      <c r="D5" s="559"/>
      <c r="E5" s="559"/>
      <c r="F5" s="4"/>
      <c r="G5" s="4"/>
      <c r="H5" s="4"/>
    </row>
    <row r="6" spans="1:8" x14ac:dyDescent="0.35">
      <c r="A6" s="123" t="s">
        <v>181</v>
      </c>
      <c r="B6" s="144">
        <v>16</v>
      </c>
      <c r="C6" s="361" t="s">
        <v>436</v>
      </c>
      <c r="D6" s="8">
        <v>1</v>
      </c>
      <c r="E6" s="144" t="s">
        <v>4</v>
      </c>
      <c r="F6" s="4"/>
      <c r="G6" s="4"/>
      <c r="H6" s="4"/>
    </row>
    <row r="7" spans="1:8" ht="41.25" customHeight="1" x14ac:dyDescent="0.3">
      <c r="A7" s="171"/>
      <c r="B7" s="145"/>
      <c r="C7" s="377"/>
      <c r="D7" s="9">
        <v>2</v>
      </c>
      <c r="E7" s="145" t="s">
        <v>5</v>
      </c>
      <c r="F7" s="100" t="s">
        <v>17</v>
      </c>
      <c r="G7" s="311" t="s">
        <v>785</v>
      </c>
      <c r="H7" s="4"/>
    </row>
    <row r="8" spans="1:8" ht="37.5" customHeight="1" x14ac:dyDescent="0.35">
      <c r="A8" s="179" t="s">
        <v>181</v>
      </c>
      <c r="B8" s="218">
        <v>16</v>
      </c>
      <c r="C8" s="218" t="s">
        <v>448</v>
      </c>
      <c r="D8" s="366" t="s">
        <v>110</v>
      </c>
      <c r="E8" s="367"/>
      <c r="F8" s="4"/>
      <c r="G8" s="4"/>
      <c r="H8" s="4"/>
    </row>
    <row r="9" spans="1:8" ht="12.75" customHeight="1" x14ac:dyDescent="0.35">
      <c r="A9" s="178" t="s">
        <v>181</v>
      </c>
      <c r="B9" s="10">
        <v>17</v>
      </c>
      <c r="C9" s="361" t="s">
        <v>437</v>
      </c>
      <c r="D9" s="8">
        <v>1</v>
      </c>
      <c r="E9" s="144" t="s">
        <v>4</v>
      </c>
      <c r="F9" s="4"/>
      <c r="G9" s="4"/>
      <c r="H9" s="4"/>
    </row>
    <row r="10" spans="1:8" ht="44.25" customHeight="1" x14ac:dyDescent="0.35">
      <c r="A10" s="171"/>
      <c r="B10" s="15"/>
      <c r="C10" s="377"/>
      <c r="D10" s="9">
        <v>2</v>
      </c>
      <c r="E10" s="145" t="s">
        <v>5</v>
      </c>
      <c r="F10" s="13" t="s">
        <v>17</v>
      </c>
      <c r="G10" s="14" t="s">
        <v>786</v>
      </c>
      <c r="H10" s="4"/>
    </row>
    <row r="11" spans="1:8" ht="39" customHeight="1" x14ac:dyDescent="0.35">
      <c r="A11" s="179" t="s">
        <v>181</v>
      </c>
      <c r="B11" s="180">
        <v>17</v>
      </c>
      <c r="C11" s="218" t="s">
        <v>449</v>
      </c>
      <c r="D11" s="366" t="s">
        <v>110</v>
      </c>
      <c r="E11" s="367"/>
      <c r="F11" s="4"/>
      <c r="G11" s="4"/>
      <c r="H11" s="4"/>
    </row>
    <row r="12" spans="1:8" ht="12.75" customHeight="1" x14ac:dyDescent="0.35">
      <c r="A12" s="178" t="s">
        <v>181</v>
      </c>
      <c r="B12" s="10">
        <f>B9+1</f>
        <v>18</v>
      </c>
      <c r="C12" s="361" t="s">
        <v>567</v>
      </c>
      <c r="D12" s="8">
        <v>1</v>
      </c>
      <c r="E12" s="144" t="s">
        <v>4</v>
      </c>
      <c r="F12" s="4"/>
      <c r="G12" s="4"/>
      <c r="H12" s="4"/>
    </row>
    <row r="13" spans="1:8" ht="34.5" customHeight="1" x14ac:dyDescent="0.35">
      <c r="A13" s="171"/>
      <c r="B13" s="15"/>
      <c r="C13" s="377"/>
      <c r="D13" s="9">
        <v>2</v>
      </c>
      <c r="E13" s="145" t="s">
        <v>5</v>
      </c>
      <c r="F13" s="13" t="s">
        <v>17</v>
      </c>
      <c r="G13" s="14" t="s">
        <v>787</v>
      </c>
      <c r="H13" s="4"/>
    </row>
    <row r="14" spans="1:8" ht="36" customHeight="1" x14ac:dyDescent="0.35">
      <c r="A14" s="179" t="s">
        <v>181</v>
      </c>
      <c r="B14" s="180">
        <f>B12</f>
        <v>18</v>
      </c>
      <c r="C14" s="218" t="s">
        <v>450</v>
      </c>
      <c r="D14" s="366" t="s">
        <v>110</v>
      </c>
      <c r="E14" s="367"/>
      <c r="F14" s="4"/>
      <c r="G14" s="4"/>
      <c r="H14" s="4"/>
    </row>
    <row r="15" spans="1:8" ht="159.75" customHeight="1" x14ac:dyDescent="0.35">
      <c r="A15" s="179" t="s">
        <v>181</v>
      </c>
      <c r="B15" s="180">
        <v>19</v>
      </c>
      <c r="C15" s="144" t="s">
        <v>568</v>
      </c>
      <c r="D15" s="546" t="s">
        <v>525</v>
      </c>
      <c r="E15" s="547"/>
      <c r="F15" s="4"/>
      <c r="G15" s="4"/>
      <c r="H15" s="4"/>
    </row>
    <row r="16" spans="1:8" ht="12.75" customHeight="1" x14ac:dyDescent="0.35">
      <c r="A16" s="178" t="s">
        <v>217</v>
      </c>
      <c r="B16" s="10">
        <v>20</v>
      </c>
      <c r="C16" s="563" t="s">
        <v>451</v>
      </c>
      <c r="D16" s="8">
        <v>1</v>
      </c>
      <c r="E16" s="144" t="s">
        <v>4</v>
      </c>
      <c r="F16" s="4" t="s">
        <v>784</v>
      </c>
      <c r="G16" s="4"/>
      <c r="H16" s="4"/>
    </row>
    <row r="17" spans="1:8" ht="12.75" customHeight="1" x14ac:dyDescent="0.35">
      <c r="A17" s="170"/>
      <c r="B17" s="11"/>
      <c r="C17" s="564"/>
      <c r="D17" s="12">
        <v>2</v>
      </c>
      <c r="E17" s="23" t="s">
        <v>5</v>
      </c>
      <c r="F17" s="13"/>
      <c r="G17" s="4"/>
      <c r="H17" s="4"/>
    </row>
    <row r="18" spans="1:8" ht="12.75" customHeight="1" x14ac:dyDescent="0.35">
      <c r="A18" s="170"/>
      <c r="B18" s="11"/>
      <c r="C18" s="564"/>
      <c r="D18" s="12">
        <v>-88</v>
      </c>
      <c r="E18" s="23" t="s">
        <v>7</v>
      </c>
      <c r="F18" s="4"/>
      <c r="G18" s="4"/>
      <c r="H18" s="4"/>
    </row>
    <row r="19" spans="1:8" ht="12.75" customHeight="1" x14ac:dyDescent="0.35">
      <c r="A19" s="171"/>
      <c r="B19" s="15"/>
      <c r="C19" s="262"/>
      <c r="D19" s="9">
        <v>-99</v>
      </c>
      <c r="E19" s="145" t="s">
        <v>20</v>
      </c>
      <c r="F19" s="4"/>
      <c r="G19" s="4"/>
      <c r="H19" s="4"/>
    </row>
    <row r="20" spans="1:8" ht="12.75" customHeight="1" x14ac:dyDescent="0.35">
      <c r="A20" s="178" t="s">
        <v>217</v>
      </c>
      <c r="B20" s="10">
        <f>B16+1</f>
        <v>21</v>
      </c>
      <c r="C20" s="563" t="s">
        <v>453</v>
      </c>
      <c r="D20" s="150">
        <v>1</v>
      </c>
      <c r="E20" s="144" t="s">
        <v>335</v>
      </c>
      <c r="F20" s="4"/>
      <c r="G20" s="4"/>
      <c r="H20" s="4"/>
    </row>
    <row r="21" spans="1:8" x14ac:dyDescent="0.35">
      <c r="A21" s="170"/>
      <c r="B21" s="11"/>
      <c r="C21" s="564"/>
      <c r="D21" s="151">
        <f>D20+1</f>
        <v>2</v>
      </c>
      <c r="E21" s="23" t="s">
        <v>334</v>
      </c>
      <c r="F21" s="4"/>
      <c r="G21" s="4"/>
      <c r="H21" s="4"/>
    </row>
    <row r="22" spans="1:8" ht="26" x14ac:dyDescent="0.35">
      <c r="A22" s="170"/>
      <c r="B22" s="11"/>
      <c r="C22" s="263"/>
      <c r="D22" s="151">
        <f t="shared" ref="D22:D32" si="0">D21+1</f>
        <v>3</v>
      </c>
      <c r="E22" s="23" t="s">
        <v>333</v>
      </c>
      <c r="F22" s="4"/>
      <c r="G22" s="4"/>
      <c r="H22" s="4"/>
    </row>
    <row r="23" spans="1:8" x14ac:dyDescent="0.35">
      <c r="A23" s="170"/>
      <c r="B23" s="11"/>
      <c r="C23" s="263"/>
      <c r="D23" s="151">
        <f t="shared" si="0"/>
        <v>4</v>
      </c>
      <c r="E23" s="23" t="s">
        <v>336</v>
      </c>
      <c r="F23" s="4"/>
      <c r="G23" s="4"/>
      <c r="H23" s="4"/>
    </row>
    <row r="24" spans="1:8" x14ac:dyDescent="0.35">
      <c r="A24" s="170"/>
      <c r="B24" s="11"/>
      <c r="C24" s="263"/>
      <c r="D24" s="151">
        <f t="shared" si="0"/>
        <v>5</v>
      </c>
      <c r="E24" s="23" t="s">
        <v>337</v>
      </c>
      <c r="F24" s="4"/>
      <c r="G24" s="4"/>
      <c r="H24" s="4"/>
    </row>
    <row r="25" spans="1:8" ht="12.75" customHeight="1" x14ac:dyDescent="0.35">
      <c r="A25" s="170"/>
      <c r="B25" s="11"/>
      <c r="C25" s="263"/>
      <c r="D25" s="151">
        <f t="shared" si="0"/>
        <v>6</v>
      </c>
      <c r="E25" s="23" t="s">
        <v>330</v>
      </c>
      <c r="F25" s="4"/>
      <c r="G25" s="4"/>
      <c r="H25" s="4"/>
    </row>
    <row r="26" spans="1:8" ht="26" x14ac:dyDescent="0.35">
      <c r="A26" s="170"/>
      <c r="B26" s="11"/>
      <c r="C26" s="263"/>
      <c r="D26" s="151">
        <f t="shared" si="0"/>
        <v>7</v>
      </c>
      <c r="E26" s="23" t="s">
        <v>515</v>
      </c>
      <c r="F26" s="4"/>
      <c r="G26" s="4"/>
      <c r="H26" s="4"/>
    </row>
    <row r="27" spans="1:8" ht="12.75" customHeight="1" x14ac:dyDescent="0.35">
      <c r="A27" s="170"/>
      <c r="B27" s="11"/>
      <c r="C27" s="263"/>
      <c r="D27" s="151">
        <f t="shared" si="0"/>
        <v>8</v>
      </c>
      <c r="E27" s="23" t="s">
        <v>788</v>
      </c>
      <c r="F27" s="4"/>
      <c r="G27" s="4"/>
      <c r="H27" s="4"/>
    </row>
    <row r="28" spans="1:8" ht="20.25" customHeight="1" x14ac:dyDescent="0.35">
      <c r="A28" s="170"/>
      <c r="B28" s="11"/>
      <c r="C28" s="263"/>
      <c r="D28" s="151">
        <f t="shared" si="0"/>
        <v>9</v>
      </c>
      <c r="E28" s="23" t="s">
        <v>332</v>
      </c>
      <c r="F28" s="4"/>
      <c r="G28" s="4"/>
      <c r="H28" s="4"/>
    </row>
    <row r="29" spans="1:8" ht="26" x14ac:dyDescent="0.35">
      <c r="A29" s="170"/>
      <c r="B29" s="11"/>
      <c r="C29" s="263"/>
      <c r="D29" s="151">
        <f t="shared" si="0"/>
        <v>10</v>
      </c>
      <c r="E29" s="23" t="s">
        <v>331</v>
      </c>
      <c r="F29" s="4"/>
      <c r="G29" s="4"/>
      <c r="H29" s="4"/>
    </row>
    <row r="30" spans="1:8" x14ac:dyDescent="0.35">
      <c r="A30" s="170"/>
      <c r="B30" s="11"/>
      <c r="C30" s="263"/>
      <c r="D30" s="151">
        <f t="shared" si="0"/>
        <v>11</v>
      </c>
      <c r="E30" s="23" t="s">
        <v>328</v>
      </c>
      <c r="F30" s="4"/>
      <c r="G30" s="4"/>
      <c r="H30" s="4"/>
    </row>
    <row r="31" spans="1:8" x14ac:dyDescent="0.35">
      <c r="A31" s="170"/>
      <c r="B31" s="11"/>
      <c r="C31" s="263"/>
      <c r="D31" s="151">
        <f t="shared" si="0"/>
        <v>12</v>
      </c>
      <c r="E31" s="23" t="s">
        <v>329</v>
      </c>
      <c r="F31" s="4"/>
      <c r="G31" s="4"/>
      <c r="H31" s="4"/>
    </row>
    <row r="32" spans="1:8" ht="26" x14ac:dyDescent="0.35">
      <c r="A32" s="170"/>
      <c r="B32" s="11"/>
      <c r="C32" s="263"/>
      <c r="D32" s="151">
        <f t="shared" si="0"/>
        <v>13</v>
      </c>
      <c r="E32" s="23" t="s">
        <v>327</v>
      </c>
      <c r="F32" s="4"/>
      <c r="G32" s="4"/>
      <c r="H32" s="4"/>
    </row>
    <row r="33" spans="1:8" ht="12.75" customHeight="1" x14ac:dyDescent="0.35">
      <c r="A33" s="170"/>
      <c r="B33" s="11"/>
      <c r="C33" s="263"/>
      <c r="D33" s="151">
        <v>-66</v>
      </c>
      <c r="E33" s="23" t="s">
        <v>268</v>
      </c>
      <c r="F33" s="4"/>
      <c r="G33" s="4"/>
      <c r="H33" s="141"/>
    </row>
    <row r="34" spans="1:8" ht="12.75" customHeight="1" x14ac:dyDescent="0.35">
      <c r="A34" s="170"/>
      <c r="B34" s="11"/>
      <c r="C34" s="263"/>
      <c r="D34" s="151">
        <v>-88</v>
      </c>
      <c r="E34" s="23" t="s">
        <v>7</v>
      </c>
      <c r="F34" s="4"/>
      <c r="G34" s="4"/>
      <c r="H34" s="4"/>
    </row>
    <row r="35" spans="1:8" x14ac:dyDescent="0.35">
      <c r="A35" s="171"/>
      <c r="B35" s="15"/>
      <c r="C35" s="262"/>
      <c r="D35" s="152">
        <v>-99</v>
      </c>
      <c r="E35" s="145" t="s">
        <v>20</v>
      </c>
      <c r="F35" s="4"/>
      <c r="G35" s="4"/>
      <c r="H35" s="141"/>
    </row>
    <row r="36" spans="1:8" ht="12.75" customHeight="1" x14ac:dyDescent="0.35">
      <c r="B36" s="19"/>
      <c r="D36" s="35"/>
      <c r="H36" s="19"/>
    </row>
    <row r="37" spans="1:8" ht="19.5" customHeight="1" x14ac:dyDescent="0.35">
      <c r="A37" s="567" t="s">
        <v>496</v>
      </c>
      <c r="B37" s="568"/>
      <c r="C37" s="568"/>
      <c r="D37" s="568"/>
      <c r="E37" s="568"/>
      <c r="F37" s="568"/>
      <c r="G37" s="569"/>
    </row>
    <row r="38" spans="1:8" ht="12.75" customHeight="1" x14ac:dyDescent="0.35">
      <c r="A38" s="561" t="s">
        <v>193</v>
      </c>
      <c r="B38" s="562"/>
      <c r="C38" s="209"/>
      <c r="D38" s="534" t="s">
        <v>210</v>
      </c>
      <c r="E38" s="534"/>
      <c r="F38" s="534"/>
      <c r="G38" s="534"/>
    </row>
    <row r="39" spans="1:8" ht="43.5" customHeight="1" x14ac:dyDescent="0.35">
      <c r="A39" s="124"/>
      <c r="B39" s="160"/>
      <c r="C39" s="198" t="s">
        <v>452</v>
      </c>
      <c r="D39" s="198"/>
      <c r="E39" s="198"/>
      <c r="F39" s="557" t="s">
        <v>288</v>
      </c>
      <c r="G39" s="558"/>
    </row>
    <row r="40" spans="1:8" ht="14.25" customHeight="1" x14ac:dyDescent="0.35">
      <c r="A40" s="123" t="s">
        <v>375</v>
      </c>
      <c r="B40" s="41">
        <v>1</v>
      </c>
      <c r="C40" s="573" t="s">
        <v>45</v>
      </c>
      <c r="D40" s="8">
        <v>1</v>
      </c>
      <c r="E40" s="144" t="s">
        <v>4</v>
      </c>
      <c r="F40" s="546" t="s">
        <v>818</v>
      </c>
      <c r="G40" s="504"/>
    </row>
    <row r="41" spans="1:8" ht="12.75" customHeight="1" x14ac:dyDescent="0.35">
      <c r="A41" s="36"/>
      <c r="B41" s="158"/>
      <c r="C41" s="574"/>
      <c r="D41" s="12">
        <v>2</v>
      </c>
      <c r="E41" s="23" t="s">
        <v>5</v>
      </c>
      <c r="F41" s="520"/>
      <c r="G41" s="505"/>
    </row>
    <row r="42" spans="1:8" ht="12.75" customHeight="1" x14ac:dyDescent="0.35">
      <c r="A42" s="36"/>
      <c r="B42" s="158"/>
      <c r="C42" s="574"/>
      <c r="D42" s="12">
        <v>-88</v>
      </c>
      <c r="E42" s="23" t="s">
        <v>7</v>
      </c>
      <c r="F42" s="520"/>
      <c r="G42" s="505"/>
    </row>
    <row r="43" spans="1:8" x14ac:dyDescent="0.35">
      <c r="A43" s="36"/>
      <c r="B43" s="158"/>
      <c r="C43" s="574"/>
      <c r="D43" s="9">
        <v>-99</v>
      </c>
      <c r="E43" s="145" t="s">
        <v>20</v>
      </c>
      <c r="F43" s="520"/>
      <c r="G43" s="505"/>
    </row>
    <row r="44" spans="1:8" ht="12.75" customHeight="1" x14ac:dyDescent="0.35">
      <c r="A44" s="123" t="s">
        <v>376</v>
      </c>
      <c r="B44" s="41">
        <f>B40+1</f>
        <v>2</v>
      </c>
      <c r="C44" s="573" t="s">
        <v>46</v>
      </c>
      <c r="D44" s="8">
        <v>1</v>
      </c>
      <c r="E44" s="144" t="s">
        <v>4</v>
      </c>
      <c r="F44" s="548" t="s">
        <v>48</v>
      </c>
      <c r="G44" s="549"/>
    </row>
    <row r="45" spans="1:8" ht="15.75" customHeight="1" x14ac:dyDescent="0.35">
      <c r="A45" s="36"/>
      <c r="B45" s="158"/>
      <c r="C45" s="574"/>
      <c r="D45" s="12">
        <v>2</v>
      </c>
      <c r="E45" s="23" t="s">
        <v>5</v>
      </c>
      <c r="F45" s="550"/>
      <c r="G45" s="551"/>
    </row>
    <row r="46" spans="1:8" x14ac:dyDescent="0.35">
      <c r="A46" s="36"/>
      <c r="B46" s="158"/>
      <c r="C46" s="574"/>
      <c r="D46" s="12">
        <v>-88</v>
      </c>
      <c r="E46" s="23" t="s">
        <v>7</v>
      </c>
      <c r="F46" s="550"/>
      <c r="G46" s="551"/>
    </row>
    <row r="47" spans="1:8" x14ac:dyDescent="0.35">
      <c r="A47" s="36"/>
      <c r="B47" s="158"/>
      <c r="C47" s="574"/>
      <c r="D47" s="9">
        <v>-99</v>
      </c>
      <c r="E47" s="145" t="s">
        <v>20</v>
      </c>
      <c r="F47" s="550"/>
      <c r="G47" s="551"/>
    </row>
    <row r="48" spans="1:8" ht="26" x14ac:dyDescent="0.35">
      <c r="A48" s="123" t="s">
        <v>376</v>
      </c>
      <c r="B48" s="41">
        <f>B44+1</f>
        <v>3</v>
      </c>
      <c r="C48" s="573" t="s">
        <v>116</v>
      </c>
      <c r="D48" s="8">
        <v>1</v>
      </c>
      <c r="E48" s="144" t="s">
        <v>4</v>
      </c>
      <c r="F48" s="548" t="s">
        <v>48</v>
      </c>
      <c r="G48" s="549"/>
    </row>
    <row r="49" spans="1:7" ht="18.75" customHeight="1" x14ac:dyDescent="0.35">
      <c r="A49" s="36"/>
      <c r="B49" s="158"/>
      <c r="C49" s="574"/>
      <c r="D49" s="12">
        <v>2</v>
      </c>
      <c r="E49" s="23" t="s">
        <v>5</v>
      </c>
      <c r="F49" s="550"/>
      <c r="G49" s="551"/>
    </row>
    <row r="50" spans="1:7" ht="12.75" customHeight="1" x14ac:dyDescent="0.35">
      <c r="A50" s="36"/>
      <c r="B50" s="158"/>
      <c r="C50" s="574"/>
      <c r="D50" s="12">
        <v>-88</v>
      </c>
      <c r="E50" s="23" t="s">
        <v>7</v>
      </c>
      <c r="F50" s="550"/>
      <c r="G50" s="551"/>
    </row>
    <row r="51" spans="1:7" x14ac:dyDescent="0.35">
      <c r="A51" s="36"/>
      <c r="B51" s="158"/>
      <c r="C51" s="574"/>
      <c r="D51" s="9">
        <v>-99</v>
      </c>
      <c r="E51" s="145" t="s">
        <v>20</v>
      </c>
      <c r="F51" s="550"/>
      <c r="G51" s="551"/>
    </row>
    <row r="52" spans="1:7" ht="12.75" customHeight="1" x14ac:dyDescent="0.35">
      <c r="A52" s="123" t="s">
        <v>376</v>
      </c>
      <c r="B52" s="41">
        <f>B48+1</f>
        <v>4</v>
      </c>
      <c r="C52" s="573" t="s">
        <v>47</v>
      </c>
      <c r="D52" s="8">
        <v>1</v>
      </c>
      <c r="E52" s="144" t="s">
        <v>4</v>
      </c>
      <c r="F52" s="548" t="s">
        <v>48</v>
      </c>
      <c r="G52" s="549"/>
    </row>
    <row r="53" spans="1:7" x14ac:dyDescent="0.35">
      <c r="A53" s="36"/>
      <c r="B53" s="158"/>
      <c r="C53" s="574"/>
      <c r="D53" s="12">
        <v>2</v>
      </c>
      <c r="E53" s="23" t="s">
        <v>5</v>
      </c>
      <c r="F53" s="550"/>
      <c r="G53" s="551"/>
    </row>
    <row r="54" spans="1:7" x14ac:dyDescent="0.35">
      <c r="A54" s="36"/>
      <c r="B54" s="158"/>
      <c r="C54" s="574"/>
      <c r="D54" s="12">
        <v>-88</v>
      </c>
      <c r="E54" s="23" t="s">
        <v>7</v>
      </c>
      <c r="F54" s="550"/>
      <c r="G54" s="551"/>
    </row>
    <row r="55" spans="1:7" x14ac:dyDescent="0.35">
      <c r="A55" s="36"/>
      <c r="B55" s="158"/>
      <c r="C55" s="574"/>
      <c r="D55" s="12">
        <v>-99</v>
      </c>
      <c r="E55" s="23" t="s">
        <v>20</v>
      </c>
      <c r="F55" s="550"/>
      <c r="G55" s="551"/>
    </row>
    <row r="56" spans="1:7" ht="26" x14ac:dyDescent="0.35">
      <c r="A56" s="123" t="s">
        <v>376</v>
      </c>
      <c r="B56" s="41">
        <f>B52+1</f>
        <v>5</v>
      </c>
      <c r="C56" s="573" t="s">
        <v>497</v>
      </c>
      <c r="D56" s="8">
        <v>1</v>
      </c>
      <c r="E56" s="144" t="s">
        <v>4</v>
      </c>
      <c r="F56" s="548" t="s">
        <v>48</v>
      </c>
      <c r="G56" s="549"/>
    </row>
    <row r="57" spans="1:7" x14ac:dyDescent="0.35">
      <c r="A57" s="36"/>
      <c r="B57" s="158"/>
      <c r="C57" s="574"/>
      <c r="D57" s="12">
        <v>2</v>
      </c>
      <c r="E57" s="23" t="s">
        <v>5</v>
      </c>
      <c r="F57" s="550"/>
      <c r="G57" s="551"/>
    </row>
    <row r="58" spans="1:7" x14ac:dyDescent="0.35">
      <c r="A58" s="36"/>
      <c r="B58" s="158"/>
      <c r="C58" s="574"/>
      <c r="D58" s="12">
        <v>-88</v>
      </c>
      <c r="E58" s="23" t="s">
        <v>7</v>
      </c>
      <c r="F58" s="550"/>
      <c r="G58" s="551"/>
    </row>
    <row r="59" spans="1:7" x14ac:dyDescent="0.35">
      <c r="A59" s="37"/>
      <c r="B59" s="159"/>
      <c r="C59" s="575"/>
      <c r="D59" s="9">
        <v>-99</v>
      </c>
      <c r="E59" s="145" t="s">
        <v>20</v>
      </c>
      <c r="F59" s="555"/>
      <c r="G59" s="556"/>
    </row>
    <row r="60" spans="1:7" ht="25.5" customHeight="1" x14ac:dyDescent="0.35">
      <c r="A60" s="199"/>
    </row>
    <row r="61" spans="1:7" ht="45" customHeight="1" x14ac:dyDescent="0.35">
      <c r="A61" s="264"/>
      <c r="B61" s="265"/>
      <c r="C61" s="552" t="s">
        <v>544</v>
      </c>
      <c r="D61" s="552"/>
      <c r="E61" s="553"/>
      <c r="F61" s="557" t="s">
        <v>288</v>
      </c>
      <c r="G61" s="558"/>
    </row>
    <row r="62" spans="1:7" ht="17.25" customHeight="1" x14ac:dyDescent="0.35">
      <c r="A62" s="123" t="s">
        <v>376</v>
      </c>
      <c r="B62" s="217">
        <f>B56+1</f>
        <v>6</v>
      </c>
      <c r="C62" s="570" t="s">
        <v>45</v>
      </c>
      <c r="D62" s="8">
        <v>1</v>
      </c>
      <c r="E62" s="144" t="s">
        <v>4</v>
      </c>
      <c r="F62" s="546" t="s">
        <v>48</v>
      </c>
      <c r="G62" s="504"/>
    </row>
    <row r="63" spans="1:7" ht="12.75" customHeight="1" x14ac:dyDescent="0.35">
      <c r="A63" s="170"/>
      <c r="B63" s="23"/>
      <c r="C63" s="571"/>
      <c r="D63" s="12">
        <v>2</v>
      </c>
      <c r="E63" s="23" t="s">
        <v>5</v>
      </c>
      <c r="F63" s="520"/>
      <c r="G63" s="505"/>
    </row>
    <row r="64" spans="1:7" x14ac:dyDescent="0.35">
      <c r="A64" s="170"/>
      <c r="B64" s="23"/>
      <c r="C64" s="571"/>
      <c r="D64" s="12">
        <v>-88</v>
      </c>
      <c r="E64" s="23" t="s">
        <v>7</v>
      </c>
      <c r="F64" s="520"/>
      <c r="G64" s="505"/>
    </row>
    <row r="65" spans="1:7" x14ac:dyDescent="0.35">
      <c r="A65" s="170"/>
      <c r="B65" s="23"/>
      <c r="C65" s="571"/>
      <c r="D65" s="9">
        <v>-99</v>
      </c>
      <c r="E65" s="145" t="s">
        <v>20</v>
      </c>
      <c r="F65" s="520"/>
      <c r="G65" s="505"/>
    </row>
    <row r="66" spans="1:7" ht="26" x14ac:dyDescent="0.35">
      <c r="A66" s="123" t="s">
        <v>376</v>
      </c>
      <c r="B66" s="217">
        <f>B62+1</f>
        <v>7</v>
      </c>
      <c r="C66" s="570" t="s">
        <v>46</v>
      </c>
      <c r="D66" s="8">
        <v>1</v>
      </c>
      <c r="E66" s="144" t="s">
        <v>4</v>
      </c>
      <c r="F66" s="546" t="s">
        <v>48</v>
      </c>
      <c r="G66" s="504"/>
    </row>
    <row r="67" spans="1:7" ht="12.75" customHeight="1" x14ac:dyDescent="0.35">
      <c r="A67" s="170"/>
      <c r="B67" s="23"/>
      <c r="C67" s="571"/>
      <c r="D67" s="12">
        <v>2</v>
      </c>
      <c r="E67" s="23" t="s">
        <v>5</v>
      </c>
      <c r="F67" s="520"/>
      <c r="G67" s="505"/>
    </row>
    <row r="68" spans="1:7" x14ac:dyDescent="0.35">
      <c r="A68" s="170"/>
      <c r="B68" s="23"/>
      <c r="C68" s="571"/>
      <c r="D68" s="12">
        <v>-88</v>
      </c>
      <c r="E68" s="23" t="s">
        <v>7</v>
      </c>
      <c r="F68" s="520"/>
      <c r="G68" s="505"/>
    </row>
    <row r="69" spans="1:7" x14ac:dyDescent="0.35">
      <c r="A69" s="170"/>
      <c r="B69" s="23"/>
      <c r="C69" s="571"/>
      <c r="D69" s="9">
        <v>-99</v>
      </c>
      <c r="E69" s="145" t="s">
        <v>20</v>
      </c>
      <c r="F69" s="520"/>
      <c r="G69" s="505"/>
    </row>
    <row r="70" spans="1:7" ht="26" x14ac:dyDescent="0.35">
      <c r="A70" s="123" t="s">
        <v>376</v>
      </c>
      <c r="B70" s="217">
        <f>B66+1</f>
        <v>8</v>
      </c>
      <c r="C70" s="570" t="s">
        <v>116</v>
      </c>
      <c r="D70" s="8">
        <v>1</v>
      </c>
      <c r="E70" s="144" t="s">
        <v>4</v>
      </c>
      <c r="F70" s="546" t="s">
        <v>48</v>
      </c>
      <c r="G70" s="504"/>
    </row>
    <row r="71" spans="1:7" ht="12.75" customHeight="1" x14ac:dyDescent="0.35">
      <c r="A71" s="170"/>
      <c r="B71" s="23"/>
      <c r="C71" s="571"/>
      <c r="D71" s="12">
        <v>2</v>
      </c>
      <c r="E71" s="23" t="s">
        <v>5</v>
      </c>
      <c r="F71" s="520"/>
      <c r="G71" s="505"/>
    </row>
    <row r="72" spans="1:7" x14ac:dyDescent="0.35">
      <c r="A72" s="170"/>
      <c r="B72" s="23"/>
      <c r="C72" s="571"/>
      <c r="D72" s="12">
        <v>-88</v>
      </c>
      <c r="E72" s="23" t="s">
        <v>7</v>
      </c>
      <c r="F72" s="520"/>
      <c r="G72" s="505"/>
    </row>
    <row r="73" spans="1:7" x14ac:dyDescent="0.35">
      <c r="A73" s="170"/>
      <c r="B73" s="23"/>
      <c r="C73" s="571"/>
      <c r="D73" s="9">
        <v>-99</v>
      </c>
      <c r="E73" s="145" t="s">
        <v>20</v>
      </c>
      <c r="F73" s="520"/>
      <c r="G73" s="505"/>
    </row>
    <row r="74" spans="1:7" ht="26" x14ac:dyDescent="0.35">
      <c r="A74" s="123" t="s">
        <v>376</v>
      </c>
      <c r="B74" s="217">
        <f>B70+1</f>
        <v>9</v>
      </c>
      <c r="C74" s="570" t="s">
        <v>47</v>
      </c>
      <c r="D74" s="8">
        <v>1</v>
      </c>
      <c r="E74" s="144" t="s">
        <v>4</v>
      </c>
      <c r="F74" s="546" t="s">
        <v>48</v>
      </c>
      <c r="G74" s="504"/>
    </row>
    <row r="75" spans="1:7" ht="12.75" customHeight="1" x14ac:dyDescent="0.35">
      <c r="A75" s="170"/>
      <c r="B75" s="23"/>
      <c r="C75" s="571"/>
      <c r="D75" s="12">
        <v>2</v>
      </c>
      <c r="E75" s="23" t="s">
        <v>5</v>
      </c>
      <c r="F75" s="520"/>
      <c r="G75" s="505"/>
    </row>
    <row r="76" spans="1:7" x14ac:dyDescent="0.35">
      <c r="A76" s="170"/>
      <c r="B76" s="23"/>
      <c r="C76" s="571"/>
      <c r="D76" s="12">
        <v>-88</v>
      </c>
      <c r="E76" s="23" t="s">
        <v>7</v>
      </c>
      <c r="F76" s="520"/>
      <c r="G76" s="505"/>
    </row>
    <row r="77" spans="1:7" x14ac:dyDescent="0.35">
      <c r="A77" s="170"/>
      <c r="B77" s="23"/>
      <c r="C77" s="571"/>
      <c r="D77" s="12">
        <v>-99</v>
      </c>
      <c r="E77" s="23" t="s">
        <v>20</v>
      </c>
      <c r="F77" s="520"/>
      <c r="G77" s="505"/>
    </row>
    <row r="78" spans="1:7" ht="26" x14ac:dyDescent="0.35">
      <c r="A78" s="123" t="s">
        <v>376</v>
      </c>
      <c r="B78" s="217">
        <f>B74+1</f>
        <v>10</v>
      </c>
      <c r="C78" s="570" t="s">
        <v>497</v>
      </c>
      <c r="D78" s="8">
        <v>1</v>
      </c>
      <c r="E78" s="144" t="s">
        <v>4</v>
      </c>
      <c r="F78" s="546" t="s">
        <v>48</v>
      </c>
      <c r="G78" s="504"/>
    </row>
    <row r="79" spans="1:7" ht="12.75" customHeight="1" x14ac:dyDescent="0.35">
      <c r="A79" s="170"/>
      <c r="B79" s="23"/>
      <c r="C79" s="571"/>
      <c r="D79" s="12">
        <v>2</v>
      </c>
      <c r="E79" s="23" t="s">
        <v>5</v>
      </c>
      <c r="F79" s="520"/>
      <c r="G79" s="505"/>
    </row>
    <row r="80" spans="1:7" x14ac:dyDescent="0.35">
      <c r="A80" s="170"/>
      <c r="B80" s="23"/>
      <c r="C80" s="571"/>
      <c r="D80" s="12">
        <v>-88</v>
      </c>
      <c r="E80" s="23" t="s">
        <v>7</v>
      </c>
      <c r="F80" s="520"/>
      <c r="G80" s="505"/>
    </row>
    <row r="81" spans="1:7" x14ac:dyDescent="0.35">
      <c r="A81" s="171"/>
      <c r="B81" s="145"/>
      <c r="C81" s="572"/>
      <c r="D81" s="9">
        <v>-99</v>
      </c>
      <c r="E81" s="145" t="s">
        <v>20</v>
      </c>
      <c r="F81" s="576"/>
      <c r="G81" s="522"/>
    </row>
  </sheetData>
  <mergeCells count="40">
    <mergeCell ref="A2:G2"/>
    <mergeCell ref="A37:G37"/>
    <mergeCell ref="C78:C81"/>
    <mergeCell ref="C74:C77"/>
    <mergeCell ref="C16:C18"/>
    <mergeCell ref="C62:C65"/>
    <mergeCell ref="C70:C73"/>
    <mergeCell ref="C48:C51"/>
    <mergeCell ref="C52:C55"/>
    <mergeCell ref="C56:C59"/>
    <mergeCell ref="C66:C69"/>
    <mergeCell ref="C40:C43"/>
    <mergeCell ref="C44:C47"/>
    <mergeCell ref="F48:G51"/>
    <mergeCell ref="F78:G81"/>
    <mergeCell ref="F61:G61"/>
    <mergeCell ref="A4:B4"/>
    <mergeCell ref="D4:E4"/>
    <mergeCell ref="F52:G55"/>
    <mergeCell ref="F56:G59"/>
    <mergeCell ref="F39:G39"/>
    <mergeCell ref="F40:G43"/>
    <mergeCell ref="A5:E5"/>
    <mergeCell ref="D14:E14"/>
    <mergeCell ref="C12:C13"/>
    <mergeCell ref="D8:E8"/>
    <mergeCell ref="D11:E11"/>
    <mergeCell ref="C6:C7"/>
    <mergeCell ref="F4:G4"/>
    <mergeCell ref="A38:B38"/>
    <mergeCell ref="D38:G38"/>
    <mergeCell ref="C20:C21"/>
    <mergeCell ref="F74:G77"/>
    <mergeCell ref="C9:C10"/>
    <mergeCell ref="D15:E15"/>
    <mergeCell ref="F44:G47"/>
    <mergeCell ref="F62:G65"/>
    <mergeCell ref="C61:E61"/>
    <mergeCell ref="F66:G69"/>
    <mergeCell ref="F70:G73"/>
  </mergeCells>
  <pageMargins left="0.7" right="0.7" top="0.75" bottom="0.75" header="0.3" footer="0.3"/>
  <pageSetup orientation="portrait" r:id="rId1"/>
  <headerFooter>
    <oddHeader xml:space="preserve">&amp;CSAVINGS &amp; TRANSFERS &amp;R&amp;KFF0000
</oddHeader>
  </headerFooter>
  <rowBreaks count="2" manualBreakCount="2">
    <brk id="19" max="16383" man="1"/>
    <brk id="6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6"/>
  <sheetViews>
    <sheetView view="pageLayout" topLeftCell="A15" zoomScaleNormal="100" workbookViewId="0">
      <selection activeCell="C15" sqref="C15:C16"/>
    </sheetView>
  </sheetViews>
  <sheetFormatPr defaultColWidth="9.1796875" defaultRowHeight="13" x14ac:dyDescent="0.35"/>
  <cols>
    <col min="1" max="1" width="4.453125" style="4" customWidth="1"/>
    <col min="2" max="2" width="3.453125" style="4" customWidth="1"/>
    <col min="3" max="3" width="31.1796875" style="4" customWidth="1"/>
    <col min="4" max="4" width="9.1796875" style="141"/>
    <col min="5" max="5" width="28.26953125" style="4" customWidth="1"/>
    <col min="6" max="6" width="5.7265625" style="4" customWidth="1"/>
    <col min="7" max="7" width="8.1796875" style="4" customWidth="1"/>
    <col min="8" max="16384" width="9.1796875" style="4"/>
  </cols>
  <sheetData>
    <row r="1" spans="1:7" ht="70.5" customHeight="1" x14ac:dyDescent="0.35">
      <c r="A1" s="583" t="s">
        <v>291</v>
      </c>
      <c r="B1" s="583"/>
      <c r="C1" s="583"/>
      <c r="D1" s="583"/>
      <c r="E1" s="583"/>
      <c r="F1" s="583"/>
      <c r="G1" s="583"/>
    </row>
    <row r="2" spans="1:7" ht="14.25" customHeight="1" x14ac:dyDescent="0.35">
      <c r="A2" s="584" t="s">
        <v>0</v>
      </c>
      <c r="B2" s="585"/>
      <c r="C2" s="279" t="s">
        <v>57</v>
      </c>
      <c r="D2" s="517" t="s">
        <v>58</v>
      </c>
      <c r="E2" s="560"/>
      <c r="F2" s="517" t="s">
        <v>59</v>
      </c>
      <c r="G2" s="560"/>
    </row>
    <row r="3" spans="1:7" ht="14.25" customHeight="1" x14ac:dyDescent="0.35">
      <c r="A3" s="586" t="s">
        <v>240</v>
      </c>
      <c r="B3" s="587"/>
      <c r="C3" s="588"/>
      <c r="D3" s="134"/>
      <c r="E3" s="119"/>
      <c r="F3" s="210"/>
      <c r="G3" s="266"/>
    </row>
    <row r="4" spans="1:7" ht="15.75" customHeight="1" x14ac:dyDescent="0.35">
      <c r="A4" s="12" t="s">
        <v>217</v>
      </c>
      <c r="B4" s="143">
        <v>1</v>
      </c>
      <c r="C4" s="267" t="s">
        <v>241</v>
      </c>
      <c r="D4" s="577" t="s">
        <v>110</v>
      </c>
      <c r="E4" s="578"/>
      <c r="F4" s="579" t="s">
        <v>242</v>
      </c>
      <c r="G4" s="580"/>
    </row>
    <row r="5" spans="1:7" ht="17.25" customHeight="1" x14ac:dyDescent="0.35">
      <c r="A5" s="12" t="s">
        <v>217</v>
      </c>
      <c r="B5" s="143">
        <f>B4+1</f>
        <v>2</v>
      </c>
      <c r="C5" s="135" t="s">
        <v>243</v>
      </c>
      <c r="D5" s="581" t="s">
        <v>110</v>
      </c>
      <c r="E5" s="582"/>
      <c r="F5" s="579"/>
      <c r="G5" s="580"/>
    </row>
    <row r="6" spans="1:7" ht="17.25" customHeight="1" x14ac:dyDescent="0.35">
      <c r="A6" s="12" t="s">
        <v>217</v>
      </c>
      <c r="B6" s="143">
        <f t="shared" ref="B6:B11" si="0">B5+1</f>
        <v>3</v>
      </c>
      <c r="C6" s="135" t="s">
        <v>244</v>
      </c>
      <c r="D6" s="581" t="s">
        <v>110</v>
      </c>
      <c r="E6" s="582"/>
      <c r="F6" s="210"/>
      <c r="G6" s="266"/>
    </row>
    <row r="7" spans="1:7" ht="18" customHeight="1" x14ac:dyDescent="0.35">
      <c r="A7" s="12" t="s">
        <v>217</v>
      </c>
      <c r="B7" s="143">
        <f t="shared" si="0"/>
        <v>4</v>
      </c>
      <c r="C7" s="135" t="s">
        <v>789</v>
      </c>
      <c r="D7" s="581" t="s">
        <v>110</v>
      </c>
      <c r="E7" s="582"/>
      <c r="F7" s="210"/>
      <c r="G7" s="266"/>
    </row>
    <row r="8" spans="1:7" ht="18" customHeight="1" x14ac:dyDescent="0.35">
      <c r="A8" s="12" t="s">
        <v>217</v>
      </c>
      <c r="B8" s="143">
        <f t="shared" si="0"/>
        <v>5</v>
      </c>
      <c r="C8" s="135" t="s">
        <v>245</v>
      </c>
      <c r="D8" s="581" t="s">
        <v>110</v>
      </c>
      <c r="E8" s="582"/>
      <c r="F8" s="210"/>
      <c r="G8" s="266"/>
    </row>
    <row r="9" spans="1:7" ht="20.25" customHeight="1" x14ac:dyDescent="0.35">
      <c r="A9" s="12" t="s">
        <v>217</v>
      </c>
      <c r="B9" s="143">
        <f t="shared" si="0"/>
        <v>6</v>
      </c>
      <c r="C9" s="135" t="s">
        <v>246</v>
      </c>
      <c r="D9" s="581" t="s">
        <v>110</v>
      </c>
      <c r="E9" s="582"/>
      <c r="F9" s="210"/>
      <c r="G9" s="266"/>
    </row>
    <row r="10" spans="1:7" ht="25.5" customHeight="1" x14ac:dyDescent="0.35">
      <c r="A10" s="12" t="s">
        <v>217</v>
      </c>
      <c r="B10" s="143">
        <f t="shared" si="0"/>
        <v>7</v>
      </c>
      <c r="C10" s="135" t="s">
        <v>247</v>
      </c>
      <c r="D10" s="581" t="s">
        <v>110</v>
      </c>
      <c r="E10" s="582"/>
      <c r="F10" s="210"/>
      <c r="G10" s="266"/>
    </row>
    <row r="11" spans="1:7" ht="18.75" customHeight="1" x14ac:dyDescent="0.35">
      <c r="A11" s="12" t="s">
        <v>217</v>
      </c>
      <c r="B11" s="143">
        <f t="shared" si="0"/>
        <v>8</v>
      </c>
      <c r="C11" s="135" t="s">
        <v>248</v>
      </c>
      <c r="D11" s="581" t="s">
        <v>110</v>
      </c>
      <c r="E11" s="582"/>
      <c r="F11" s="210"/>
      <c r="G11" s="266"/>
    </row>
    <row r="12" spans="1:7" ht="18.75" customHeight="1" x14ac:dyDescent="0.35">
      <c r="A12" s="12" t="s">
        <v>217</v>
      </c>
      <c r="B12" s="143">
        <v>12</v>
      </c>
      <c r="C12" s="342" t="s">
        <v>574</v>
      </c>
      <c r="D12" s="581" t="s">
        <v>110</v>
      </c>
      <c r="E12" s="582"/>
      <c r="F12" s="210"/>
      <c r="G12" s="266"/>
    </row>
    <row r="13" spans="1:7" ht="18.75" customHeight="1" x14ac:dyDescent="0.35">
      <c r="A13" s="12" t="s">
        <v>217</v>
      </c>
      <c r="B13" s="143">
        <v>13</v>
      </c>
      <c r="C13" s="342" t="s">
        <v>575</v>
      </c>
      <c r="D13" s="581" t="s">
        <v>110</v>
      </c>
      <c r="E13" s="582"/>
      <c r="F13" s="210"/>
      <c r="G13" s="266"/>
    </row>
    <row r="14" spans="1:7" ht="57.75" customHeight="1" x14ac:dyDescent="0.35">
      <c r="A14" s="12" t="s">
        <v>217</v>
      </c>
      <c r="B14" s="143">
        <f>B11+1</f>
        <v>9</v>
      </c>
      <c r="C14" s="343" t="s">
        <v>508</v>
      </c>
      <c r="D14" s="592" t="s">
        <v>110</v>
      </c>
      <c r="E14" s="593"/>
      <c r="F14" s="210"/>
      <c r="G14" s="266"/>
    </row>
    <row r="15" spans="1:7" ht="23.25" customHeight="1" x14ac:dyDescent="0.35">
      <c r="A15" s="8" t="s">
        <v>217</v>
      </c>
      <c r="B15" s="217">
        <f>B14+1</f>
        <v>10</v>
      </c>
      <c r="C15" s="375" t="s">
        <v>249</v>
      </c>
      <c r="D15" s="8">
        <v>1</v>
      </c>
      <c r="E15" s="144" t="s">
        <v>4</v>
      </c>
      <c r="F15" s="220"/>
      <c r="G15" s="268"/>
    </row>
    <row r="16" spans="1:7" ht="19.5" customHeight="1" x14ac:dyDescent="0.35">
      <c r="A16" s="269"/>
      <c r="B16" s="270"/>
      <c r="C16" s="375"/>
      <c r="D16" s="9">
        <v>2</v>
      </c>
      <c r="E16" s="145" t="s">
        <v>5</v>
      </c>
      <c r="F16" s="25" t="s">
        <v>17</v>
      </c>
      <c r="G16" s="280" t="s">
        <v>790</v>
      </c>
    </row>
    <row r="17" spans="1:7" s="210" customFormat="1" ht="49.5" customHeight="1" x14ac:dyDescent="0.35">
      <c r="A17" s="146" t="s">
        <v>217</v>
      </c>
      <c r="B17" s="18">
        <f>B15+1</f>
        <v>11</v>
      </c>
      <c r="C17" s="218" t="s">
        <v>292</v>
      </c>
      <c r="D17" s="366" t="s">
        <v>110</v>
      </c>
      <c r="E17" s="367"/>
      <c r="F17" s="147"/>
      <c r="G17" s="148"/>
    </row>
    <row r="18" spans="1:7" ht="22.5" customHeight="1" x14ac:dyDescent="0.35">
      <c r="C18" s="32"/>
      <c r="D18" s="30"/>
      <c r="E18" s="32"/>
    </row>
    <row r="19" spans="1:7" ht="75" customHeight="1" x14ac:dyDescent="0.35">
      <c r="A19" s="589" t="s">
        <v>797</v>
      </c>
      <c r="B19" s="590"/>
      <c r="C19" s="590"/>
      <c r="D19" s="590"/>
      <c r="E19" s="590"/>
      <c r="F19" s="591"/>
    </row>
    <row r="20" spans="1:7" ht="21.75" customHeight="1" x14ac:dyDescent="0.35">
      <c r="A20" s="38" t="s">
        <v>0</v>
      </c>
      <c r="B20" s="39"/>
      <c r="C20" s="40" t="s">
        <v>1</v>
      </c>
      <c r="D20" s="422" t="s">
        <v>2</v>
      </c>
      <c r="E20" s="424"/>
      <c r="F20" s="282" t="s">
        <v>3</v>
      </c>
    </row>
    <row r="21" spans="1:7" x14ac:dyDescent="0.35">
      <c r="A21" s="133" t="s">
        <v>377</v>
      </c>
      <c r="B21" s="217">
        <v>1</v>
      </c>
      <c r="C21" s="380" t="s">
        <v>498</v>
      </c>
      <c r="D21" s="29">
        <v>1</v>
      </c>
      <c r="E21" s="144" t="s">
        <v>4</v>
      </c>
      <c r="F21" s="271"/>
    </row>
    <row r="22" spans="1:7" ht="14.25" customHeight="1" x14ac:dyDescent="0.35">
      <c r="A22" s="49"/>
      <c r="B22" s="11"/>
      <c r="C22" s="362"/>
      <c r="D22" s="30">
        <v>2</v>
      </c>
      <c r="E22" s="23" t="s">
        <v>5</v>
      </c>
      <c r="F22" s="347" t="s">
        <v>803</v>
      </c>
      <c r="G22" s="393"/>
    </row>
    <row r="23" spans="1:7" x14ac:dyDescent="0.35">
      <c r="A23" s="49"/>
      <c r="B23" s="11"/>
      <c r="C23" s="362"/>
      <c r="D23" s="30">
        <v>-88</v>
      </c>
      <c r="E23" s="23" t="s">
        <v>7</v>
      </c>
      <c r="F23" s="347"/>
      <c r="G23" s="393"/>
    </row>
    <row r="24" spans="1:7" x14ac:dyDescent="0.35">
      <c r="A24" s="50"/>
      <c r="B24" s="15"/>
      <c r="C24" s="363"/>
      <c r="D24" s="31">
        <v>-99</v>
      </c>
      <c r="E24" s="145" t="s">
        <v>20</v>
      </c>
      <c r="F24" s="50"/>
    </row>
    <row r="25" spans="1:7" ht="12.75" hidden="1" customHeight="1" x14ac:dyDescent="0.35"/>
    <row r="26" spans="1:7" ht="26.25" customHeight="1" x14ac:dyDescent="0.35">
      <c r="A26" s="271" t="s">
        <v>278</v>
      </c>
      <c r="B26" s="217">
        <v>2</v>
      </c>
      <c r="C26" s="216" t="s">
        <v>422</v>
      </c>
      <c r="D26" s="594" t="s">
        <v>78</v>
      </c>
      <c r="E26" s="595"/>
      <c r="F26" s="144"/>
    </row>
    <row r="27" spans="1:7" ht="26.25" customHeight="1" x14ac:dyDescent="0.35">
      <c r="A27" s="271" t="s">
        <v>278</v>
      </c>
      <c r="B27" s="217">
        <f>B26+1</f>
        <v>3</v>
      </c>
      <c r="C27" s="216" t="s">
        <v>55</v>
      </c>
      <c r="D27" s="594" t="s">
        <v>27</v>
      </c>
      <c r="E27" s="595"/>
      <c r="F27" s="144"/>
    </row>
    <row r="28" spans="1:7" x14ac:dyDescent="0.35">
      <c r="A28" s="271" t="s">
        <v>278</v>
      </c>
      <c r="B28" s="217">
        <f>B27+1</f>
        <v>4</v>
      </c>
      <c r="C28" s="361" t="s">
        <v>536</v>
      </c>
      <c r="D28" s="53">
        <v>1</v>
      </c>
      <c r="E28" s="277" t="s">
        <v>28</v>
      </c>
      <c r="F28" s="276"/>
    </row>
    <row r="29" spans="1:7" x14ac:dyDescent="0.35">
      <c r="A29" s="49"/>
      <c r="B29" s="23"/>
      <c r="C29" s="348"/>
      <c r="D29" s="30">
        <f t="shared" ref="D29:D46" si="1">D28+1</f>
        <v>2</v>
      </c>
      <c r="E29" s="32" t="s">
        <v>29</v>
      </c>
      <c r="F29" s="278"/>
    </row>
    <row r="30" spans="1:7" ht="15.75" customHeight="1" x14ac:dyDescent="0.35">
      <c r="A30" s="49"/>
      <c r="B30" s="23"/>
      <c r="C30" s="348"/>
      <c r="D30" s="30">
        <f t="shared" si="1"/>
        <v>3</v>
      </c>
      <c r="E30" s="32" t="s">
        <v>30</v>
      </c>
      <c r="F30" s="49"/>
    </row>
    <row r="31" spans="1:7" x14ac:dyDescent="0.35">
      <c r="A31" s="49"/>
      <c r="B31" s="23"/>
      <c r="C31" s="348"/>
      <c r="D31" s="30">
        <f t="shared" si="1"/>
        <v>4</v>
      </c>
      <c r="E31" s="32" t="s">
        <v>31</v>
      </c>
      <c r="F31" s="49"/>
    </row>
    <row r="32" spans="1:7" x14ac:dyDescent="0.35">
      <c r="A32" s="49"/>
      <c r="B32" s="23"/>
      <c r="C32" s="348"/>
      <c r="D32" s="30">
        <f t="shared" si="1"/>
        <v>5</v>
      </c>
      <c r="E32" s="32" t="s">
        <v>32</v>
      </c>
      <c r="F32" s="49"/>
    </row>
    <row r="33" spans="1:6" x14ac:dyDescent="0.35">
      <c r="A33" s="49"/>
      <c r="B33" s="23"/>
      <c r="C33" s="348"/>
      <c r="D33" s="30">
        <f t="shared" si="1"/>
        <v>6</v>
      </c>
      <c r="E33" s="32" t="s">
        <v>33</v>
      </c>
      <c r="F33" s="49"/>
    </row>
    <row r="34" spans="1:6" x14ac:dyDescent="0.35">
      <c r="A34" s="49"/>
      <c r="B34" s="11"/>
      <c r="C34" s="24"/>
      <c r="D34" s="30">
        <f t="shared" si="1"/>
        <v>7</v>
      </c>
      <c r="E34" s="32" t="s">
        <v>34</v>
      </c>
      <c r="F34" s="49"/>
    </row>
    <row r="35" spans="1:6" x14ac:dyDescent="0.35">
      <c r="A35" s="49"/>
      <c r="B35" s="11"/>
      <c r="C35" s="24"/>
      <c r="D35" s="30">
        <f t="shared" si="1"/>
        <v>8</v>
      </c>
      <c r="E35" s="32" t="s">
        <v>35</v>
      </c>
      <c r="F35" s="49"/>
    </row>
    <row r="36" spans="1:6" x14ac:dyDescent="0.35">
      <c r="A36" s="49"/>
      <c r="B36" s="11"/>
      <c r="C36" s="24"/>
      <c r="D36" s="30">
        <f t="shared" si="1"/>
        <v>9</v>
      </c>
      <c r="E36" s="32" t="s">
        <v>36</v>
      </c>
      <c r="F36" s="49"/>
    </row>
    <row r="37" spans="1:6" x14ac:dyDescent="0.35">
      <c r="A37" s="49"/>
      <c r="B37" s="11"/>
      <c r="C37" s="24"/>
      <c r="D37" s="30">
        <f t="shared" si="1"/>
        <v>10</v>
      </c>
      <c r="E37" s="32" t="s">
        <v>37</v>
      </c>
      <c r="F37" s="49"/>
    </row>
    <row r="38" spans="1:6" x14ac:dyDescent="0.35">
      <c r="A38" s="49"/>
      <c r="B38" s="11"/>
      <c r="C38" s="24"/>
      <c r="D38" s="30">
        <f t="shared" si="1"/>
        <v>11</v>
      </c>
      <c r="E38" s="32" t="s">
        <v>38</v>
      </c>
      <c r="F38" s="49"/>
    </row>
    <row r="39" spans="1:6" x14ac:dyDescent="0.35">
      <c r="A39" s="49"/>
      <c r="B39" s="11"/>
      <c r="C39" s="24"/>
      <c r="D39" s="30">
        <f t="shared" si="1"/>
        <v>12</v>
      </c>
      <c r="E39" s="32" t="s">
        <v>232</v>
      </c>
      <c r="F39" s="49"/>
    </row>
    <row r="40" spans="1:6" x14ac:dyDescent="0.35">
      <c r="A40" s="49"/>
      <c r="B40" s="11"/>
      <c r="C40" s="24"/>
      <c r="D40" s="30">
        <f t="shared" si="1"/>
        <v>13</v>
      </c>
      <c r="E40" s="32" t="s">
        <v>117</v>
      </c>
      <c r="F40" s="49"/>
    </row>
    <row r="41" spans="1:6" x14ac:dyDescent="0.35">
      <c r="A41" s="49"/>
      <c r="B41" s="11"/>
      <c r="C41" s="24"/>
      <c r="D41" s="30">
        <f t="shared" si="1"/>
        <v>14</v>
      </c>
      <c r="E41" s="32" t="s">
        <v>245</v>
      </c>
      <c r="F41" s="49"/>
    </row>
    <row r="42" spans="1:6" x14ac:dyDescent="0.35">
      <c r="A42" s="49"/>
      <c r="B42" s="11"/>
      <c r="C42" s="24"/>
      <c r="D42" s="30">
        <f t="shared" si="1"/>
        <v>15</v>
      </c>
      <c r="E42" s="32" t="s">
        <v>118</v>
      </c>
      <c r="F42" s="49"/>
    </row>
    <row r="43" spans="1:6" x14ac:dyDescent="0.35">
      <c r="A43" s="49"/>
      <c r="B43" s="11"/>
      <c r="C43" s="24"/>
      <c r="D43" s="30">
        <f t="shared" si="1"/>
        <v>16</v>
      </c>
      <c r="E43" s="32" t="s">
        <v>119</v>
      </c>
      <c r="F43" s="49"/>
    </row>
    <row r="44" spans="1:6" x14ac:dyDescent="0.35">
      <c r="A44" s="49"/>
      <c r="B44" s="11"/>
      <c r="C44" s="24"/>
      <c r="D44" s="30">
        <f t="shared" si="1"/>
        <v>17</v>
      </c>
      <c r="E44" s="32" t="s">
        <v>233</v>
      </c>
      <c r="F44" s="49"/>
    </row>
    <row r="45" spans="1:6" x14ac:dyDescent="0.35">
      <c r="A45" s="49"/>
      <c r="B45" s="11"/>
      <c r="C45" s="24"/>
      <c r="D45" s="30">
        <f t="shared" si="1"/>
        <v>18</v>
      </c>
      <c r="E45" s="32" t="s">
        <v>121</v>
      </c>
      <c r="F45" s="49"/>
    </row>
    <row r="46" spans="1:6" x14ac:dyDescent="0.35">
      <c r="A46" s="49"/>
      <c r="B46" s="11"/>
      <c r="C46" s="24"/>
      <c r="D46" s="30">
        <f t="shared" si="1"/>
        <v>19</v>
      </c>
      <c r="E46" s="4" t="s">
        <v>120</v>
      </c>
      <c r="F46" s="49"/>
    </row>
    <row r="47" spans="1:6" x14ac:dyDescent="0.35">
      <c r="A47" s="49"/>
      <c r="B47" s="11"/>
      <c r="C47" s="24"/>
      <c r="D47" s="30">
        <v>-66</v>
      </c>
      <c r="E47" s="32" t="s">
        <v>499</v>
      </c>
      <c r="F47" s="49"/>
    </row>
    <row r="48" spans="1:6" ht="26" x14ac:dyDescent="0.35">
      <c r="A48" s="56" t="s">
        <v>278</v>
      </c>
      <c r="B48" s="118">
        <f>B28+1</f>
        <v>5</v>
      </c>
      <c r="C48" s="17" t="s">
        <v>267</v>
      </c>
      <c r="D48" s="366" t="s">
        <v>522</v>
      </c>
      <c r="E48" s="367"/>
      <c r="F48" s="50"/>
    </row>
    <row r="49" spans="1:7" x14ac:dyDescent="0.35">
      <c r="A49" s="133" t="s">
        <v>278</v>
      </c>
      <c r="B49" s="217">
        <f>B48+1</f>
        <v>6</v>
      </c>
      <c r="C49" s="380" t="s">
        <v>26</v>
      </c>
      <c r="D49" s="29">
        <v>1</v>
      </c>
      <c r="E49" s="144" t="s">
        <v>4</v>
      </c>
      <c r="F49" s="271"/>
    </row>
    <row r="50" spans="1:7" ht="13.5" customHeight="1" x14ac:dyDescent="0.35">
      <c r="A50" s="49"/>
      <c r="B50" s="11"/>
      <c r="C50" s="362"/>
      <c r="D50" s="30">
        <v>2</v>
      </c>
      <c r="E50" s="23" t="s">
        <v>5</v>
      </c>
      <c r="F50" s="347"/>
      <c r="G50" s="393"/>
    </row>
    <row r="51" spans="1:7" x14ac:dyDescent="0.35">
      <c r="A51" s="49"/>
      <c r="B51" s="11"/>
      <c r="C51" s="362"/>
      <c r="D51" s="30">
        <v>-88</v>
      </c>
      <c r="E51" s="23" t="s">
        <v>7</v>
      </c>
      <c r="F51" s="347"/>
      <c r="G51" s="393"/>
    </row>
    <row r="52" spans="1:7" x14ac:dyDescent="0.35">
      <c r="A52" s="50"/>
      <c r="B52" s="15"/>
      <c r="C52" s="363"/>
      <c r="D52" s="31">
        <v>-99</v>
      </c>
      <c r="E52" s="145" t="s">
        <v>20</v>
      </c>
      <c r="F52" s="50"/>
    </row>
    <row r="53" spans="1:7" x14ac:dyDescent="0.35">
      <c r="A53" s="271" t="s">
        <v>278</v>
      </c>
      <c r="B53" s="217">
        <f>B49+1</f>
        <v>7</v>
      </c>
      <c r="C53" s="361" t="s">
        <v>569</v>
      </c>
      <c r="D53" s="29">
        <v>1</v>
      </c>
      <c r="E53" s="4" t="s">
        <v>576</v>
      </c>
      <c r="F53" s="276"/>
    </row>
    <row r="54" spans="1:7" x14ac:dyDescent="0.35">
      <c r="A54" s="49"/>
      <c r="B54" s="23"/>
      <c r="C54" s="348"/>
      <c r="D54" s="30">
        <f t="shared" ref="D54:D59" si="2">D53+1</f>
        <v>2</v>
      </c>
      <c r="E54" s="4" t="s">
        <v>41</v>
      </c>
      <c r="F54" s="278"/>
    </row>
    <row r="55" spans="1:7" ht="12.75" customHeight="1" x14ac:dyDescent="0.35">
      <c r="A55" s="49"/>
      <c r="B55" s="23"/>
      <c r="C55" s="348"/>
      <c r="D55" s="30">
        <f t="shared" si="2"/>
        <v>3</v>
      </c>
      <c r="E55" s="4" t="s">
        <v>293</v>
      </c>
      <c r="F55" s="49"/>
    </row>
    <row r="56" spans="1:7" x14ac:dyDescent="0.35">
      <c r="A56" s="49"/>
      <c r="B56" s="23"/>
      <c r="C56" s="348"/>
      <c r="D56" s="30">
        <f t="shared" si="2"/>
        <v>4</v>
      </c>
      <c r="E56" s="4" t="s">
        <v>42</v>
      </c>
      <c r="F56" s="49"/>
    </row>
    <row r="57" spans="1:7" x14ac:dyDescent="0.35">
      <c r="A57" s="49"/>
      <c r="B57" s="23"/>
      <c r="C57" s="348"/>
      <c r="D57" s="30">
        <f t="shared" si="2"/>
        <v>5</v>
      </c>
      <c r="E57" s="4" t="s">
        <v>43</v>
      </c>
      <c r="F57" s="49"/>
    </row>
    <row r="58" spans="1:7" ht="30.75" customHeight="1" x14ac:dyDescent="0.35">
      <c r="A58" s="49"/>
      <c r="B58" s="23"/>
      <c r="C58" s="348"/>
      <c r="D58" s="30">
        <f t="shared" si="2"/>
        <v>6</v>
      </c>
      <c r="E58" s="32" t="s">
        <v>39</v>
      </c>
      <c r="F58" s="49"/>
    </row>
    <row r="59" spans="1:7" x14ac:dyDescent="0.35">
      <c r="A59" s="49"/>
      <c r="B59" s="11"/>
      <c r="C59" s="362"/>
      <c r="D59" s="30">
        <f t="shared" si="2"/>
        <v>7</v>
      </c>
      <c r="E59" s="4" t="s">
        <v>40</v>
      </c>
      <c r="F59" s="49"/>
    </row>
    <row r="60" spans="1:7" x14ac:dyDescent="0.35">
      <c r="A60" s="49"/>
      <c r="B60" s="11"/>
      <c r="C60" s="362"/>
      <c r="D60" s="30">
        <v>8</v>
      </c>
      <c r="E60" s="4" t="s">
        <v>577</v>
      </c>
      <c r="F60" s="49"/>
    </row>
    <row r="61" spans="1:7" x14ac:dyDescent="0.35">
      <c r="A61" s="49"/>
      <c r="B61" s="11"/>
      <c r="C61" s="362"/>
      <c r="D61" s="30">
        <v>9</v>
      </c>
      <c r="E61" s="4" t="s">
        <v>578</v>
      </c>
      <c r="F61" s="49"/>
    </row>
    <row r="62" spans="1:7" x14ac:dyDescent="0.35">
      <c r="A62" s="49"/>
      <c r="B62" s="11"/>
      <c r="C62" s="362"/>
      <c r="D62" s="42">
        <v>-99</v>
      </c>
      <c r="E62" s="11" t="s">
        <v>6</v>
      </c>
      <c r="F62" s="49"/>
    </row>
    <row r="63" spans="1:7" x14ac:dyDescent="0.35">
      <c r="A63" s="49"/>
      <c r="B63" s="11"/>
      <c r="C63" s="362"/>
      <c r="D63" s="42">
        <v>-88</v>
      </c>
      <c r="E63" s="11" t="s">
        <v>7</v>
      </c>
      <c r="F63" s="49"/>
    </row>
    <row r="64" spans="1:7" x14ac:dyDescent="0.35">
      <c r="A64" s="49"/>
      <c r="B64" s="11"/>
      <c r="C64" s="362"/>
      <c r="D64" s="42">
        <v>-77</v>
      </c>
      <c r="E64" s="11" t="s">
        <v>8</v>
      </c>
      <c r="F64" s="49"/>
    </row>
    <row r="65" spans="1:6" x14ac:dyDescent="0.35">
      <c r="A65" s="49"/>
      <c r="B65" s="11"/>
      <c r="C65" s="362"/>
      <c r="D65" s="43">
        <v>-66</v>
      </c>
      <c r="E65" s="15" t="s">
        <v>9</v>
      </c>
      <c r="F65" s="49"/>
    </row>
    <row r="66" spans="1:6" x14ac:dyDescent="0.35">
      <c r="A66" s="133" t="s">
        <v>278</v>
      </c>
      <c r="B66" s="217">
        <f>B53+1</f>
        <v>8</v>
      </c>
      <c r="C66" s="380" t="s">
        <v>530</v>
      </c>
      <c r="D66" s="29">
        <v>1</v>
      </c>
      <c r="E66" s="144" t="s">
        <v>4</v>
      </c>
      <c r="F66" s="271"/>
    </row>
    <row r="67" spans="1:6" x14ac:dyDescent="0.35">
      <c r="A67" s="49"/>
      <c r="B67" s="11"/>
      <c r="C67" s="362"/>
      <c r="D67" s="30">
        <v>2</v>
      </c>
      <c r="E67" s="23" t="s">
        <v>5</v>
      </c>
      <c r="F67" s="49" t="s">
        <v>570</v>
      </c>
    </row>
    <row r="68" spans="1:6" x14ac:dyDescent="0.35">
      <c r="A68" s="49"/>
      <c r="B68" s="11"/>
      <c r="C68" s="362"/>
      <c r="D68" s="30">
        <v>-88</v>
      </c>
      <c r="E68" s="23" t="s">
        <v>7</v>
      </c>
      <c r="F68" s="49"/>
    </row>
    <row r="69" spans="1:6" x14ac:dyDescent="0.35">
      <c r="A69" s="50"/>
      <c r="B69" s="15"/>
      <c r="C69" s="363"/>
      <c r="D69" s="31">
        <v>-99</v>
      </c>
      <c r="E69" s="145" t="s">
        <v>20</v>
      </c>
      <c r="F69" s="50"/>
    </row>
    <row r="70" spans="1:6" ht="38.25" customHeight="1" x14ac:dyDescent="0.35">
      <c r="A70" s="52" t="s">
        <v>278</v>
      </c>
      <c r="B70" s="18">
        <f>B66+1</f>
        <v>9</v>
      </c>
      <c r="C70" s="17" t="s">
        <v>252</v>
      </c>
      <c r="D70" s="366" t="s">
        <v>523</v>
      </c>
      <c r="E70" s="367"/>
      <c r="F70" s="214"/>
    </row>
    <row r="71" spans="1:6" ht="46.5" customHeight="1" x14ac:dyDescent="0.35">
      <c r="A71" s="52" t="s">
        <v>278</v>
      </c>
      <c r="B71" s="18">
        <f>B70+1</f>
        <v>10</v>
      </c>
      <c r="C71" s="17" t="s">
        <v>791</v>
      </c>
      <c r="D71" s="366" t="s">
        <v>523</v>
      </c>
      <c r="E71" s="367"/>
      <c r="F71" s="214"/>
    </row>
    <row r="72" spans="1:6" x14ac:dyDescent="0.35">
      <c r="A72" s="133" t="s">
        <v>278</v>
      </c>
      <c r="B72" s="217">
        <v>11</v>
      </c>
      <c r="C72" s="380" t="s">
        <v>531</v>
      </c>
      <c r="D72" s="29">
        <v>1</v>
      </c>
      <c r="E72" s="144" t="s">
        <v>4</v>
      </c>
      <c r="F72" s="271"/>
    </row>
    <row r="73" spans="1:6" x14ac:dyDescent="0.35">
      <c r="A73" s="49"/>
      <c r="B73" s="11"/>
      <c r="C73" s="362"/>
      <c r="D73" s="30">
        <v>2</v>
      </c>
      <c r="E73" s="23" t="s">
        <v>5</v>
      </c>
      <c r="F73" s="49" t="s">
        <v>571</v>
      </c>
    </row>
    <row r="74" spans="1:6" x14ac:dyDescent="0.35">
      <c r="A74" s="49"/>
      <c r="B74" s="11"/>
      <c r="C74" s="362"/>
      <c r="D74" s="30">
        <v>-88</v>
      </c>
      <c r="E74" s="23" t="s">
        <v>7</v>
      </c>
      <c r="F74" s="49"/>
    </row>
    <row r="75" spans="1:6" x14ac:dyDescent="0.35">
      <c r="A75" s="50"/>
      <c r="B75" s="15"/>
      <c r="C75" s="363"/>
      <c r="D75" s="31">
        <v>-99</v>
      </c>
      <c r="E75" s="145" t="s">
        <v>20</v>
      </c>
      <c r="F75" s="50"/>
    </row>
    <row r="76" spans="1:6" ht="36" customHeight="1" x14ac:dyDescent="0.35">
      <c r="A76" s="52" t="s">
        <v>278</v>
      </c>
      <c r="B76" s="18">
        <v>12</v>
      </c>
      <c r="C76" s="17" t="s">
        <v>532</v>
      </c>
      <c r="D76" s="366" t="s">
        <v>523</v>
      </c>
      <c r="E76" s="367"/>
      <c r="F76" s="214"/>
    </row>
  </sheetData>
  <mergeCells count="36">
    <mergeCell ref="D70:E70"/>
    <mergeCell ref="D71:E71"/>
    <mergeCell ref="C72:C75"/>
    <mergeCell ref="D76:E76"/>
    <mergeCell ref="D48:E48"/>
    <mergeCell ref="C49:C52"/>
    <mergeCell ref="F50:G51"/>
    <mergeCell ref="C53:C58"/>
    <mergeCell ref="C59:C65"/>
    <mergeCell ref="C66:C69"/>
    <mergeCell ref="D20:E20"/>
    <mergeCell ref="C21:C24"/>
    <mergeCell ref="F22:G23"/>
    <mergeCell ref="D26:E26"/>
    <mergeCell ref="D27:E27"/>
    <mergeCell ref="C28:C33"/>
    <mergeCell ref="A19:F19"/>
    <mergeCell ref="D6:E6"/>
    <mergeCell ref="D7:E7"/>
    <mergeCell ref="D8:E8"/>
    <mergeCell ref="D9:E9"/>
    <mergeCell ref="D10:E10"/>
    <mergeCell ref="D11:E11"/>
    <mergeCell ref="D12:E12"/>
    <mergeCell ref="D13:E13"/>
    <mergeCell ref="D14:E14"/>
    <mergeCell ref="C15:C16"/>
    <mergeCell ref="D17:E17"/>
    <mergeCell ref="D4:E4"/>
    <mergeCell ref="F4:G5"/>
    <mergeCell ref="D5:E5"/>
    <mergeCell ref="A1:G1"/>
    <mergeCell ref="A2:B2"/>
    <mergeCell ref="D2:E2"/>
    <mergeCell ref="F2:G2"/>
    <mergeCell ref="A3:C3"/>
  </mergeCells>
  <pageMargins left="0.7" right="0.7" top="0.75" bottom="0.75" header="0.3" footer="0.3"/>
  <pageSetup orientation="portrait" r:id="rId1"/>
  <headerFooter>
    <oddHeader xml:space="preserve">&amp;C&amp;"-,Bold"I+L. Borrowing &amp;"-,Regular"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7"/>
  <sheetViews>
    <sheetView view="pageLayout" topLeftCell="A9" zoomScaleNormal="100" workbookViewId="0">
      <selection activeCell="A9" sqref="A9:F10"/>
    </sheetView>
  </sheetViews>
  <sheetFormatPr defaultColWidth="9.1796875" defaultRowHeight="14" x14ac:dyDescent="0.35"/>
  <cols>
    <col min="1" max="1" width="3" style="272" customWidth="1"/>
    <col min="2" max="2" width="3.453125" style="272" customWidth="1"/>
    <col min="3" max="3" width="37.54296875" style="272" customWidth="1"/>
    <col min="4" max="4" width="9.1796875" style="236"/>
    <col min="5" max="5" width="24.1796875" style="272" customWidth="1"/>
    <col min="6" max="6" width="8.54296875" style="272" customWidth="1"/>
    <col min="7" max="7" width="9.1796875" style="272" hidden="1" customWidth="1"/>
    <col min="8" max="16384" width="9.1796875" style="272"/>
  </cols>
  <sheetData>
    <row r="1" spans="1:7" ht="40.5" customHeight="1" x14ac:dyDescent="0.35">
      <c r="A1" s="583" t="s">
        <v>547</v>
      </c>
      <c r="B1" s="583"/>
      <c r="C1" s="583"/>
      <c r="D1" s="583"/>
      <c r="E1" s="583"/>
      <c r="F1" s="583"/>
    </row>
    <row r="3" spans="1:7" ht="26" x14ac:dyDescent="0.35">
      <c r="A3" s="38" t="s">
        <v>0</v>
      </c>
      <c r="B3" s="39"/>
      <c r="C3" s="40" t="s">
        <v>1</v>
      </c>
      <c r="D3" s="422" t="s">
        <v>2</v>
      </c>
      <c r="E3" s="424"/>
      <c r="F3" s="282" t="s">
        <v>3</v>
      </c>
    </row>
    <row r="4" spans="1:7" ht="15.75" customHeight="1" x14ac:dyDescent="0.35">
      <c r="A4" s="123" t="s">
        <v>269</v>
      </c>
      <c r="B4" s="217" t="s">
        <v>340</v>
      </c>
      <c r="C4" s="380" t="s">
        <v>423</v>
      </c>
      <c r="D4" s="29">
        <v>1</v>
      </c>
      <c r="E4" s="144" t="s">
        <v>4</v>
      </c>
      <c r="F4" s="271"/>
      <c r="G4" s="272" t="s">
        <v>467</v>
      </c>
    </row>
    <row r="5" spans="1:7" ht="14.25" customHeight="1" x14ac:dyDescent="0.35">
      <c r="A5" s="170"/>
      <c r="B5" s="11"/>
      <c r="C5" s="362"/>
      <c r="D5" s="30">
        <v>2</v>
      </c>
      <c r="E5" s="23" t="s">
        <v>5</v>
      </c>
      <c r="F5" s="362" t="s">
        <v>296</v>
      </c>
    </row>
    <row r="6" spans="1:7" x14ac:dyDescent="0.35">
      <c r="A6" s="170"/>
      <c r="B6" s="11"/>
      <c r="C6" s="362"/>
      <c r="D6" s="30">
        <v>-88</v>
      </c>
      <c r="E6" s="23" t="s">
        <v>7</v>
      </c>
      <c r="F6" s="362"/>
    </row>
    <row r="7" spans="1:7" x14ac:dyDescent="0.35">
      <c r="A7" s="171"/>
      <c r="B7" s="15"/>
      <c r="C7" s="363"/>
      <c r="D7" s="31">
        <v>-99</v>
      </c>
      <c r="E7" s="145" t="s">
        <v>20</v>
      </c>
      <c r="F7" s="50"/>
    </row>
    <row r="8" spans="1:7" s="4" customFormat="1" ht="26.25" customHeight="1" x14ac:dyDescent="0.35">
      <c r="A8" s="271" t="s">
        <v>269</v>
      </c>
      <c r="B8" s="217" t="s">
        <v>341</v>
      </c>
      <c r="C8" s="216" t="s">
        <v>424</v>
      </c>
      <c r="D8" s="594" t="s">
        <v>78</v>
      </c>
      <c r="E8" s="595"/>
      <c r="F8" s="144"/>
      <c r="G8" s="4" t="s">
        <v>468</v>
      </c>
    </row>
    <row r="9" spans="1:7" s="4" customFormat="1" ht="26.25" customHeight="1" x14ac:dyDescent="0.35">
      <c r="A9" s="596" t="s">
        <v>798</v>
      </c>
      <c r="B9" s="597"/>
      <c r="C9" s="597"/>
      <c r="D9" s="597"/>
      <c r="E9" s="597"/>
      <c r="F9" s="598"/>
    </row>
    <row r="10" spans="1:7" ht="42" customHeight="1" x14ac:dyDescent="0.35">
      <c r="A10" s="599"/>
      <c r="B10" s="600"/>
      <c r="C10" s="600"/>
      <c r="D10" s="600"/>
      <c r="E10" s="600"/>
      <c r="F10" s="601"/>
    </row>
    <row r="11" spans="1:7" ht="29.25" customHeight="1" x14ac:dyDescent="0.35">
      <c r="A11" s="271" t="s">
        <v>269</v>
      </c>
      <c r="B11" s="217">
        <v>2</v>
      </c>
      <c r="C11" s="216" t="s">
        <v>44</v>
      </c>
      <c r="D11" s="602" t="s">
        <v>27</v>
      </c>
      <c r="E11" s="603"/>
      <c r="F11" s="144"/>
      <c r="G11" s="272" t="s">
        <v>378</v>
      </c>
    </row>
    <row r="12" spans="1:7" x14ac:dyDescent="0.35">
      <c r="A12" s="271" t="s">
        <v>269</v>
      </c>
      <c r="B12" s="217">
        <f>B11+1</f>
        <v>3</v>
      </c>
      <c r="C12" s="361" t="s">
        <v>792</v>
      </c>
      <c r="D12" s="29">
        <v>1</v>
      </c>
      <c r="E12" s="277" t="s">
        <v>28</v>
      </c>
      <c r="F12" s="276"/>
      <c r="G12" s="272" t="s">
        <v>379</v>
      </c>
    </row>
    <row r="13" spans="1:7" x14ac:dyDescent="0.35">
      <c r="A13" s="49"/>
      <c r="B13" s="23"/>
      <c r="C13" s="348"/>
      <c r="D13" s="30">
        <v>2</v>
      </c>
      <c r="E13" s="32" t="s">
        <v>29</v>
      </c>
      <c r="F13" s="278"/>
    </row>
    <row r="14" spans="1:7" x14ac:dyDescent="0.35">
      <c r="A14" s="49"/>
      <c r="B14" s="23"/>
      <c r="C14" s="348"/>
      <c r="D14" s="30">
        <v>3</v>
      </c>
      <c r="E14" s="32" t="s">
        <v>30</v>
      </c>
      <c r="F14" s="49"/>
    </row>
    <row r="15" spans="1:7" x14ac:dyDescent="0.35">
      <c r="A15" s="49"/>
      <c r="B15" s="23"/>
      <c r="C15" s="348"/>
      <c r="D15" s="30">
        <v>4</v>
      </c>
      <c r="E15" s="32" t="s">
        <v>31</v>
      </c>
      <c r="F15" s="49"/>
    </row>
    <row r="16" spans="1:7" x14ac:dyDescent="0.35">
      <c r="A16" s="49"/>
      <c r="B16" s="23"/>
      <c r="C16" s="348"/>
      <c r="D16" s="30">
        <v>5</v>
      </c>
      <c r="E16" s="32" t="s">
        <v>32</v>
      </c>
      <c r="F16" s="49"/>
    </row>
    <row r="17" spans="1:7" x14ac:dyDescent="0.35">
      <c r="A17" s="49"/>
      <c r="B17" s="23"/>
      <c r="C17" s="348"/>
      <c r="D17" s="30">
        <v>6</v>
      </c>
      <c r="E17" s="32" t="s">
        <v>33</v>
      </c>
      <c r="F17" s="49"/>
    </row>
    <row r="18" spans="1:7" ht="15" customHeight="1" x14ac:dyDescent="0.35">
      <c r="A18" s="49"/>
      <c r="B18" s="11"/>
      <c r="C18" s="310"/>
      <c r="D18" s="30">
        <v>7</v>
      </c>
      <c r="E18" s="32" t="s">
        <v>34</v>
      </c>
      <c r="F18" s="49"/>
    </row>
    <row r="19" spans="1:7" x14ac:dyDescent="0.35">
      <c r="A19" s="49"/>
      <c r="B19" s="11"/>
      <c r="C19" s="24"/>
      <c r="D19" s="30">
        <v>8</v>
      </c>
      <c r="E19" s="32" t="s">
        <v>35</v>
      </c>
      <c r="F19" s="49"/>
    </row>
    <row r="20" spans="1:7" x14ac:dyDescent="0.35">
      <c r="A20" s="49"/>
      <c r="B20" s="11"/>
      <c r="C20" s="24"/>
      <c r="D20" s="30">
        <v>9</v>
      </c>
      <c r="E20" s="32" t="s">
        <v>36</v>
      </c>
      <c r="F20" s="49"/>
    </row>
    <row r="21" spans="1:7" x14ac:dyDescent="0.35">
      <c r="A21" s="49"/>
      <c r="B21" s="11"/>
      <c r="C21" s="24"/>
      <c r="D21" s="30">
        <v>10</v>
      </c>
      <c r="E21" s="32" t="s">
        <v>37</v>
      </c>
      <c r="F21" s="49"/>
    </row>
    <row r="22" spans="1:7" x14ac:dyDescent="0.35">
      <c r="A22" s="49"/>
      <c r="B22" s="11"/>
      <c r="C22" s="24"/>
      <c r="D22" s="30">
        <v>11</v>
      </c>
      <c r="E22" s="32" t="s">
        <v>38</v>
      </c>
      <c r="F22" s="49"/>
    </row>
    <row r="23" spans="1:7" x14ac:dyDescent="0.35">
      <c r="A23" s="49"/>
      <c r="B23" s="11"/>
      <c r="C23" s="24"/>
      <c r="D23" s="30">
        <v>12</v>
      </c>
      <c r="E23" s="32" t="s">
        <v>232</v>
      </c>
      <c r="F23" s="49"/>
    </row>
    <row r="24" spans="1:7" x14ac:dyDescent="0.35">
      <c r="A24" s="49"/>
      <c r="B24" s="11"/>
      <c r="C24" s="24"/>
      <c r="D24" s="30">
        <v>13</v>
      </c>
      <c r="E24" s="32" t="s">
        <v>117</v>
      </c>
      <c r="F24" s="49"/>
    </row>
    <row r="25" spans="1:7" x14ac:dyDescent="0.35">
      <c r="A25" s="49"/>
      <c r="B25" s="11"/>
      <c r="C25" s="24"/>
      <c r="D25" s="30">
        <v>14</v>
      </c>
      <c r="E25" s="32" t="s">
        <v>118</v>
      </c>
      <c r="F25" s="49"/>
    </row>
    <row r="26" spans="1:7" x14ac:dyDescent="0.35">
      <c r="A26" s="49"/>
      <c r="B26" s="11"/>
      <c r="C26" s="24"/>
      <c r="D26" s="30">
        <v>15</v>
      </c>
      <c r="E26" s="4" t="s">
        <v>119</v>
      </c>
      <c r="F26" s="49"/>
    </row>
    <row r="27" spans="1:7" x14ac:dyDescent="0.35">
      <c r="A27" s="49"/>
      <c r="B27" s="11"/>
      <c r="C27" s="24"/>
      <c r="D27" s="30">
        <v>16</v>
      </c>
      <c r="E27" s="4" t="s">
        <v>233</v>
      </c>
      <c r="F27" s="49"/>
    </row>
    <row r="28" spans="1:7" x14ac:dyDescent="0.35">
      <c r="A28" s="49"/>
      <c r="B28" s="11"/>
      <c r="C28" s="24"/>
      <c r="D28" s="30">
        <v>17</v>
      </c>
      <c r="E28" s="4" t="s">
        <v>121</v>
      </c>
      <c r="F28" s="49"/>
    </row>
    <row r="29" spans="1:7" x14ac:dyDescent="0.35">
      <c r="A29" s="49"/>
      <c r="B29" s="11"/>
      <c r="C29" s="24"/>
      <c r="D29" s="30">
        <v>18</v>
      </c>
      <c r="E29" s="4" t="s">
        <v>120</v>
      </c>
      <c r="F29" s="49"/>
    </row>
    <row r="30" spans="1:7" x14ac:dyDescent="0.35">
      <c r="A30" s="49"/>
      <c r="B30" s="11"/>
      <c r="C30" s="24"/>
      <c r="D30" s="30">
        <v>19</v>
      </c>
      <c r="E30" s="4" t="s">
        <v>579</v>
      </c>
      <c r="F30" s="49"/>
    </row>
    <row r="31" spans="1:7" x14ac:dyDescent="0.35">
      <c r="A31" s="50"/>
      <c r="B31" s="15"/>
      <c r="C31" s="212"/>
      <c r="D31" s="31">
        <v>-66</v>
      </c>
      <c r="E31" s="283" t="s">
        <v>500</v>
      </c>
      <c r="F31" s="50"/>
    </row>
    <row r="32" spans="1:7" ht="45" customHeight="1" x14ac:dyDescent="0.35">
      <c r="A32" s="51" t="s">
        <v>269</v>
      </c>
      <c r="B32" s="16">
        <f>B12+1</f>
        <v>4</v>
      </c>
      <c r="C32" s="276" t="s">
        <v>295</v>
      </c>
      <c r="D32" s="366" t="s">
        <v>522</v>
      </c>
      <c r="E32" s="367"/>
      <c r="F32" s="214"/>
      <c r="G32" s="272" t="s">
        <v>380</v>
      </c>
    </row>
    <row r="33" spans="1:7" ht="15" customHeight="1" x14ac:dyDescent="0.35">
      <c r="A33" s="133" t="s">
        <v>269</v>
      </c>
      <c r="B33" s="217">
        <f>B32+1</f>
        <v>5</v>
      </c>
      <c r="C33" s="380" t="s">
        <v>793</v>
      </c>
      <c r="D33" s="29">
        <v>1</v>
      </c>
      <c r="E33" s="144" t="s">
        <v>4</v>
      </c>
      <c r="F33" s="271"/>
      <c r="G33" s="272" t="s">
        <v>381</v>
      </c>
    </row>
    <row r="34" spans="1:7" x14ac:dyDescent="0.35">
      <c r="A34" s="49"/>
      <c r="B34" s="11"/>
      <c r="C34" s="362"/>
      <c r="D34" s="30">
        <v>2</v>
      </c>
      <c r="E34" s="23" t="s">
        <v>5</v>
      </c>
      <c r="F34" s="49"/>
    </row>
    <row r="35" spans="1:7" x14ac:dyDescent="0.35">
      <c r="A35" s="49"/>
      <c r="B35" s="11"/>
      <c r="C35" s="362"/>
      <c r="D35" s="30">
        <v>-88</v>
      </c>
      <c r="E35" s="23" t="s">
        <v>7</v>
      </c>
      <c r="F35" s="49"/>
    </row>
    <row r="36" spans="1:7" x14ac:dyDescent="0.35">
      <c r="A36" s="50"/>
      <c r="B36" s="15"/>
      <c r="C36" s="363"/>
      <c r="D36" s="31">
        <v>-99</v>
      </c>
      <c r="E36" s="145" t="s">
        <v>20</v>
      </c>
      <c r="F36" s="50"/>
    </row>
    <row r="37" spans="1:7" ht="39.75" customHeight="1" x14ac:dyDescent="0.35">
      <c r="A37" s="52" t="s">
        <v>269</v>
      </c>
      <c r="B37" s="18">
        <f>B33+1</f>
        <v>6</v>
      </c>
      <c r="C37" s="17" t="s">
        <v>236</v>
      </c>
      <c r="D37" s="366" t="s">
        <v>523</v>
      </c>
      <c r="E37" s="367"/>
      <c r="F37" s="273"/>
      <c r="G37" s="272" t="s">
        <v>470</v>
      </c>
    </row>
  </sheetData>
  <mergeCells count="11">
    <mergeCell ref="D11:E11"/>
    <mergeCell ref="C12:C17"/>
    <mergeCell ref="D32:E32"/>
    <mergeCell ref="C33:C36"/>
    <mergeCell ref="D37:E37"/>
    <mergeCell ref="A9:F10"/>
    <mergeCell ref="A1:F1"/>
    <mergeCell ref="D3:E3"/>
    <mergeCell ref="C4:C7"/>
    <mergeCell ref="F5:F6"/>
    <mergeCell ref="D8:E8"/>
  </mergeCells>
  <pageMargins left="0.7" right="0.7" top="0.75" bottom="0.75" header="0.3" footer="0.3"/>
  <pageSetup orientation="portrait" horizontalDpi="1200" verticalDpi="1200" r:id="rId1"/>
  <headerFooter>
    <oddHeader xml:space="preserve">&amp;C&amp;"-,Bold"M. LENDING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3"/>
  <sheetViews>
    <sheetView view="pageLayout" zoomScaleNormal="100" workbookViewId="0">
      <selection activeCell="R3" sqref="R3"/>
    </sheetView>
  </sheetViews>
  <sheetFormatPr defaultColWidth="9.1796875" defaultRowHeight="14.5" x14ac:dyDescent="0.35"/>
  <cols>
    <col min="1" max="1" width="3.7265625" style="249" customWidth="1"/>
    <col min="2" max="2" width="3.54296875" style="249" customWidth="1"/>
    <col min="3" max="3" width="44.81640625" style="249" customWidth="1"/>
    <col min="4" max="4" width="5" style="249" customWidth="1"/>
    <col min="5" max="5" width="18.7265625" style="249" customWidth="1"/>
    <col min="6" max="6" width="3.26953125" style="249" customWidth="1"/>
    <col min="7" max="7" width="9.1796875" style="249"/>
    <col min="8" max="8" width="0" style="249" hidden="1" customWidth="1"/>
    <col min="9" max="16384" width="9.1796875" style="249"/>
  </cols>
  <sheetData>
    <row r="1" spans="1:8" ht="15" x14ac:dyDescent="0.35">
      <c r="B1" s="399" t="s">
        <v>455</v>
      </c>
      <c r="C1" s="604"/>
      <c r="D1" s="604"/>
      <c r="E1" s="604"/>
      <c r="F1" s="604"/>
      <c r="G1" s="604"/>
    </row>
    <row r="2" spans="1:8" x14ac:dyDescent="0.35">
      <c r="B2" s="13"/>
      <c r="C2" s="13"/>
      <c r="D2" s="13"/>
      <c r="E2" s="13"/>
      <c r="F2" s="13"/>
      <c r="G2" s="13"/>
    </row>
    <row r="3" spans="1:8" ht="65.25" customHeight="1" x14ac:dyDescent="0.35">
      <c r="A3" s="605" t="s">
        <v>542</v>
      </c>
      <c r="B3" s="606"/>
      <c r="C3" s="606"/>
      <c r="D3" s="606"/>
      <c r="E3" s="607"/>
      <c r="F3" s="13"/>
      <c r="G3" s="13"/>
    </row>
    <row r="4" spans="1:8" x14ac:dyDescent="0.35">
      <c r="A4" s="246"/>
      <c r="B4" s="20"/>
      <c r="C4" s="21"/>
      <c r="D4" s="21"/>
      <c r="E4" s="21"/>
      <c r="F4" s="13"/>
      <c r="G4" s="13"/>
    </row>
    <row r="5" spans="1:8" x14ac:dyDescent="0.35">
      <c r="A5" s="54" t="s">
        <v>454</v>
      </c>
      <c r="B5" s="22" t="s">
        <v>10</v>
      </c>
      <c r="C5" s="380" t="s">
        <v>273</v>
      </c>
      <c r="D5" s="8">
        <v>1</v>
      </c>
      <c r="E5" s="144" t="s">
        <v>4</v>
      </c>
      <c r="F5" s="13"/>
      <c r="G5" s="13"/>
      <c r="H5" s="249" t="s">
        <v>457</v>
      </c>
    </row>
    <row r="6" spans="1:8" x14ac:dyDescent="0.35">
      <c r="A6" s="55"/>
      <c r="B6" s="143"/>
      <c r="C6" s="362"/>
      <c r="D6" s="12">
        <v>2</v>
      </c>
      <c r="E6" s="23" t="s">
        <v>5</v>
      </c>
      <c r="F6" s="13" t="s">
        <v>17</v>
      </c>
      <c r="G6" s="14" t="str">
        <f>B14</f>
        <v>2.a.</v>
      </c>
    </row>
    <row r="7" spans="1:8" x14ac:dyDescent="0.35">
      <c r="A7" s="55"/>
      <c r="B7" s="143"/>
      <c r="C7" s="362"/>
      <c r="D7" s="12">
        <v>-88</v>
      </c>
      <c r="E7" s="23" t="s">
        <v>7</v>
      </c>
      <c r="F7" s="13" t="s">
        <v>17</v>
      </c>
      <c r="G7" s="14" t="str">
        <f>B14</f>
        <v>2.a.</v>
      </c>
    </row>
    <row r="8" spans="1:8" x14ac:dyDescent="0.35">
      <c r="A8" s="56"/>
      <c r="B8" s="118"/>
      <c r="C8" s="212"/>
      <c r="D8" s="9">
        <v>-99</v>
      </c>
      <c r="E8" s="145" t="s">
        <v>20</v>
      </c>
      <c r="F8" s="13" t="s">
        <v>17</v>
      </c>
      <c r="G8" s="14" t="str">
        <f>B14</f>
        <v>2.a.</v>
      </c>
    </row>
    <row r="9" spans="1:8" x14ac:dyDescent="0.35">
      <c r="A9" s="54" t="s">
        <v>454</v>
      </c>
      <c r="B9" s="22" t="s">
        <v>11</v>
      </c>
      <c r="C9" s="66" t="s">
        <v>274</v>
      </c>
      <c r="D9" s="8">
        <v>1</v>
      </c>
      <c r="E9" s="144" t="s">
        <v>21</v>
      </c>
      <c r="F9" s="13"/>
      <c r="G9" s="13"/>
      <c r="H9" s="249" t="s">
        <v>458</v>
      </c>
    </row>
    <row r="10" spans="1:8" ht="19.5" customHeight="1" x14ac:dyDescent="0.35">
      <c r="A10" s="49"/>
      <c r="B10" s="11"/>
      <c r="C10" s="24"/>
      <c r="D10" s="12">
        <f>D9+1</f>
        <v>2</v>
      </c>
      <c r="E10" s="23" t="s">
        <v>22</v>
      </c>
      <c r="F10" s="13"/>
      <c r="G10" s="13"/>
    </row>
    <row r="11" spans="1:8" ht="26" x14ac:dyDescent="0.35">
      <c r="A11" s="49"/>
      <c r="B11" s="11"/>
      <c r="C11" s="13"/>
      <c r="D11" s="12">
        <f>D10+1</f>
        <v>3</v>
      </c>
      <c r="E11" s="23" t="s">
        <v>23</v>
      </c>
      <c r="F11" s="13"/>
      <c r="G11" s="13"/>
    </row>
    <row r="12" spans="1:8" x14ac:dyDescent="0.35">
      <c r="A12" s="49"/>
      <c r="B12" s="11"/>
      <c r="C12" s="13"/>
      <c r="D12" s="12">
        <v>-88</v>
      </c>
      <c r="E12" s="23" t="s">
        <v>7</v>
      </c>
      <c r="F12" s="13"/>
      <c r="G12" s="14"/>
    </row>
    <row r="13" spans="1:8" x14ac:dyDescent="0.35">
      <c r="A13" s="50"/>
      <c r="B13" s="15"/>
      <c r="C13" s="25"/>
      <c r="D13" s="9">
        <v>-99</v>
      </c>
      <c r="E13" s="145" t="s">
        <v>20</v>
      </c>
      <c r="F13" s="13"/>
      <c r="G13" s="14"/>
    </row>
    <row r="14" spans="1:8" x14ac:dyDescent="0.35">
      <c r="A14" s="54" t="s">
        <v>454</v>
      </c>
      <c r="B14" s="22" t="s">
        <v>24</v>
      </c>
      <c r="C14" s="380" t="s">
        <v>275</v>
      </c>
      <c r="D14" s="8">
        <v>1</v>
      </c>
      <c r="E14" s="144" t="s">
        <v>4</v>
      </c>
      <c r="F14" s="13"/>
      <c r="G14" s="13"/>
      <c r="H14" s="249" t="s">
        <v>459</v>
      </c>
    </row>
    <row r="15" spans="1:8" x14ac:dyDescent="0.35">
      <c r="A15" s="55"/>
      <c r="B15" s="143"/>
      <c r="C15" s="362"/>
      <c r="D15" s="12">
        <v>2</v>
      </c>
      <c r="E15" s="23" t="s">
        <v>5</v>
      </c>
      <c r="F15" s="13" t="s">
        <v>17</v>
      </c>
      <c r="G15" s="14" t="str">
        <f>B23</f>
        <v>3.a.</v>
      </c>
    </row>
    <row r="16" spans="1:8" x14ac:dyDescent="0.35">
      <c r="A16" s="55"/>
      <c r="B16" s="143"/>
      <c r="C16" s="362"/>
      <c r="D16" s="12">
        <v>-88</v>
      </c>
      <c r="E16" s="23" t="s">
        <v>7</v>
      </c>
      <c r="F16" s="13" t="s">
        <v>17</v>
      </c>
      <c r="G16" s="14" t="str">
        <f>B23</f>
        <v>3.a.</v>
      </c>
    </row>
    <row r="17" spans="1:8" x14ac:dyDescent="0.35">
      <c r="A17" s="56"/>
      <c r="B17" s="118"/>
      <c r="C17" s="363"/>
      <c r="D17" s="9">
        <v>-99</v>
      </c>
      <c r="E17" s="145" t="s">
        <v>20</v>
      </c>
      <c r="F17" s="13" t="s">
        <v>17</v>
      </c>
      <c r="G17" s="14" t="str">
        <f>B23</f>
        <v>3.a.</v>
      </c>
    </row>
    <row r="18" spans="1:8" ht="17.25" customHeight="1" x14ac:dyDescent="0.35">
      <c r="A18" s="54" t="s">
        <v>454</v>
      </c>
      <c r="B18" s="22" t="s">
        <v>14</v>
      </c>
      <c r="C18" s="66" t="s">
        <v>274</v>
      </c>
      <c r="D18" s="8">
        <v>1</v>
      </c>
      <c r="E18" s="144" t="s">
        <v>21</v>
      </c>
      <c r="F18" s="13"/>
      <c r="G18" s="13"/>
      <c r="H18" s="249" t="s">
        <v>460</v>
      </c>
    </row>
    <row r="19" spans="1:8" ht="16.5" customHeight="1" x14ac:dyDescent="0.35">
      <c r="A19" s="49"/>
      <c r="B19" s="11"/>
      <c r="C19" s="24"/>
      <c r="D19" s="12">
        <f>D18+1</f>
        <v>2</v>
      </c>
      <c r="E19" s="23" t="s">
        <v>22</v>
      </c>
      <c r="F19" s="13"/>
      <c r="G19" s="13"/>
    </row>
    <row r="20" spans="1:8" ht="26" x14ac:dyDescent="0.35">
      <c r="A20" s="49"/>
      <c r="B20" s="11"/>
      <c r="C20" s="13"/>
      <c r="D20" s="12">
        <f>D19+1</f>
        <v>3</v>
      </c>
      <c r="E20" s="23" t="s">
        <v>23</v>
      </c>
      <c r="F20" s="13"/>
      <c r="G20" s="13"/>
    </row>
    <row r="21" spans="1:8" x14ac:dyDescent="0.35">
      <c r="A21" s="49"/>
      <c r="B21" s="11"/>
      <c r="C21" s="13"/>
      <c r="D21" s="12">
        <v>-88</v>
      </c>
      <c r="E21" s="23" t="s">
        <v>7</v>
      </c>
      <c r="F21" s="13"/>
      <c r="G21" s="13"/>
    </row>
    <row r="22" spans="1:8" x14ac:dyDescent="0.35">
      <c r="A22" s="50"/>
      <c r="B22" s="15"/>
      <c r="C22" s="25"/>
      <c r="D22" s="9">
        <v>-99</v>
      </c>
      <c r="E22" s="145" t="s">
        <v>20</v>
      </c>
      <c r="F22" s="13"/>
      <c r="G22" s="13"/>
    </row>
    <row r="23" spans="1:8" x14ac:dyDescent="0.35">
      <c r="A23" s="54" t="s">
        <v>454</v>
      </c>
      <c r="B23" s="22" t="s">
        <v>18</v>
      </c>
      <c r="C23" s="380" t="s">
        <v>276</v>
      </c>
      <c r="D23" s="8">
        <v>1</v>
      </c>
      <c r="E23" s="144" t="s">
        <v>4</v>
      </c>
      <c r="F23" s="13"/>
      <c r="G23" s="13"/>
      <c r="H23" s="249" t="s">
        <v>461</v>
      </c>
    </row>
    <row r="24" spans="1:8" x14ac:dyDescent="0.35">
      <c r="A24" s="55"/>
      <c r="B24" s="143"/>
      <c r="C24" s="362"/>
      <c r="D24" s="12">
        <v>2</v>
      </c>
      <c r="E24" s="23" t="s">
        <v>5</v>
      </c>
      <c r="F24" s="13" t="s">
        <v>17</v>
      </c>
      <c r="G24" s="14" t="s">
        <v>338</v>
      </c>
    </row>
    <row r="25" spans="1:8" x14ac:dyDescent="0.35">
      <c r="A25" s="55"/>
      <c r="B25" s="143"/>
      <c r="C25" s="362"/>
      <c r="D25" s="12">
        <v>-88</v>
      </c>
      <c r="E25" s="23" t="s">
        <v>7</v>
      </c>
      <c r="F25" s="13" t="s">
        <v>17</v>
      </c>
      <c r="G25" s="14" t="s">
        <v>338</v>
      </c>
    </row>
    <row r="26" spans="1:8" x14ac:dyDescent="0.35">
      <c r="A26" s="56"/>
      <c r="B26" s="118"/>
      <c r="C26" s="212"/>
      <c r="D26" s="9">
        <v>-99</v>
      </c>
      <c r="E26" s="145" t="s">
        <v>20</v>
      </c>
      <c r="F26" s="13" t="s">
        <v>17</v>
      </c>
      <c r="G26" s="14" t="s">
        <v>338</v>
      </c>
    </row>
    <row r="27" spans="1:8" x14ac:dyDescent="0.35">
      <c r="A27" s="54" t="s">
        <v>454</v>
      </c>
      <c r="B27" s="22" t="s">
        <v>19</v>
      </c>
      <c r="C27" s="66" t="s">
        <v>274</v>
      </c>
      <c r="D27" s="8">
        <v>1</v>
      </c>
      <c r="E27" s="144" t="s">
        <v>21</v>
      </c>
      <c r="F27" s="13"/>
      <c r="G27" s="13"/>
      <c r="H27" s="249" t="s">
        <v>462</v>
      </c>
    </row>
    <row r="28" spans="1:8" x14ac:dyDescent="0.35">
      <c r="A28" s="57"/>
      <c r="B28" s="26"/>
      <c r="C28" s="24"/>
      <c r="D28" s="12">
        <f>D27+1</f>
        <v>2</v>
      </c>
      <c r="E28" s="23" t="s">
        <v>22</v>
      </c>
      <c r="F28" s="13"/>
      <c r="G28" s="13"/>
    </row>
    <row r="29" spans="1:8" ht="26" x14ac:dyDescent="0.35">
      <c r="A29" s="57"/>
      <c r="B29" s="26"/>
      <c r="C29" s="13"/>
      <c r="D29" s="12">
        <f>D28+1</f>
        <v>3</v>
      </c>
      <c r="E29" s="23" t="s">
        <v>23</v>
      </c>
      <c r="F29" s="13"/>
      <c r="G29" s="13"/>
    </row>
    <row r="30" spans="1:8" x14ac:dyDescent="0.35">
      <c r="A30" s="57"/>
      <c r="B30" s="26"/>
      <c r="C30" s="13"/>
      <c r="D30" s="12">
        <v>-88</v>
      </c>
      <c r="E30" s="23" t="s">
        <v>7</v>
      </c>
      <c r="F30" s="13"/>
      <c r="G30" s="13"/>
    </row>
    <row r="31" spans="1:8" x14ac:dyDescent="0.35">
      <c r="A31" s="58"/>
      <c r="B31" s="27"/>
      <c r="C31" s="25"/>
      <c r="D31" s="9">
        <v>-99</v>
      </c>
      <c r="E31" s="145" t="s">
        <v>20</v>
      </c>
      <c r="F31" s="13"/>
      <c r="G31" s="13"/>
    </row>
    <row r="32" spans="1:8" ht="47.25" customHeight="1" x14ac:dyDescent="0.35">
      <c r="A32" s="59" t="s">
        <v>454</v>
      </c>
      <c r="B32" s="48" t="s">
        <v>338</v>
      </c>
      <c r="C32" s="28" t="s">
        <v>501</v>
      </c>
      <c r="D32" s="492" t="s">
        <v>25</v>
      </c>
      <c r="E32" s="493"/>
      <c r="H32" s="249" t="s">
        <v>463</v>
      </c>
    </row>
    <row r="33" spans="1:8" ht="39.75" customHeight="1" x14ac:dyDescent="0.35">
      <c r="A33" s="59" t="s">
        <v>454</v>
      </c>
      <c r="B33" s="48" t="s">
        <v>339</v>
      </c>
      <c r="C33" s="28" t="s">
        <v>794</v>
      </c>
      <c r="D33" s="492" t="s">
        <v>25</v>
      </c>
      <c r="E33" s="493"/>
      <c r="H33" s="249" t="s">
        <v>464</v>
      </c>
    </row>
  </sheetData>
  <mergeCells count="7">
    <mergeCell ref="D33:E33"/>
    <mergeCell ref="B1:G1"/>
    <mergeCell ref="A3:E3"/>
    <mergeCell ref="C5:C7"/>
    <mergeCell ref="C14:C17"/>
    <mergeCell ref="C23:C25"/>
    <mergeCell ref="D32:E3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1"/>
  <sheetViews>
    <sheetView tabSelected="1" view="pageLayout" zoomScaleNormal="100" workbookViewId="0">
      <selection activeCell="Q2" sqref="Q2"/>
    </sheetView>
  </sheetViews>
  <sheetFormatPr defaultRowHeight="14.5" x14ac:dyDescent="0.35"/>
  <cols>
    <col min="1" max="1" width="3.1796875" customWidth="1"/>
    <col min="2" max="2" width="3.26953125" bestFit="1" customWidth="1"/>
    <col min="3" max="3" width="29.1796875" customWidth="1"/>
    <col min="4" max="4" width="3.7265625" customWidth="1"/>
    <col min="5" max="5" width="9.1796875" style="292"/>
    <col min="7" max="7" width="18.7265625" customWidth="1"/>
    <col min="8" max="8" width="4" customWidth="1"/>
    <col min="9" max="9" width="9.26953125" customWidth="1"/>
  </cols>
  <sheetData>
    <row r="1" spans="1:9" ht="39.75" customHeight="1" thickBot="1" x14ac:dyDescent="0.4">
      <c r="A1" s="612" t="s">
        <v>539</v>
      </c>
      <c r="B1" s="613"/>
      <c r="C1" s="613"/>
      <c r="D1" s="613"/>
      <c r="E1" s="613"/>
      <c r="F1" s="613"/>
      <c r="G1" s="614"/>
      <c r="H1" s="82"/>
      <c r="I1" s="82"/>
    </row>
    <row r="2" spans="1:9" ht="15" thickBot="1" x14ac:dyDescent="0.4">
      <c r="B2" s="615"/>
      <c r="C2" s="615"/>
      <c r="D2" s="615"/>
      <c r="E2" s="615"/>
      <c r="F2" s="615"/>
      <c r="G2" s="615"/>
      <c r="H2" s="615"/>
      <c r="I2" s="615"/>
    </row>
    <row r="3" spans="1:9" ht="15" thickBot="1" x14ac:dyDescent="0.4">
      <c r="A3" s="616" t="s">
        <v>0</v>
      </c>
      <c r="B3" s="617"/>
      <c r="C3" s="117" t="s">
        <v>57</v>
      </c>
      <c r="D3" s="618" t="s">
        <v>58</v>
      </c>
      <c r="E3" s="617"/>
      <c r="F3" s="117"/>
      <c r="G3" s="117"/>
      <c r="H3" s="619" t="s">
        <v>59</v>
      </c>
      <c r="I3" s="620"/>
    </row>
    <row r="4" spans="1:9" x14ac:dyDescent="0.35">
      <c r="A4" s="621" t="s">
        <v>466</v>
      </c>
      <c r="B4" s="621">
        <v>1</v>
      </c>
      <c r="C4" s="623" t="s">
        <v>277</v>
      </c>
      <c r="D4" s="8">
        <v>1</v>
      </c>
      <c r="E4" s="392" t="s">
        <v>168</v>
      </c>
      <c r="F4" s="392"/>
      <c r="G4" s="392"/>
      <c r="H4" s="624" t="s">
        <v>465</v>
      </c>
      <c r="I4" s="625"/>
    </row>
    <row r="5" spans="1:9" ht="73.5" customHeight="1" x14ac:dyDescent="0.35">
      <c r="A5" s="622"/>
      <c r="B5" s="622"/>
      <c r="C5" s="545"/>
      <c r="D5" s="9">
        <v>2</v>
      </c>
      <c r="E5" s="394" t="s">
        <v>5</v>
      </c>
      <c r="F5" s="394"/>
      <c r="G5" s="394"/>
      <c r="H5" s="626"/>
      <c r="I5" s="627"/>
    </row>
    <row r="6" spans="1:9" ht="34.5" customHeight="1" x14ac:dyDescent="0.35">
      <c r="A6" s="142" t="s">
        <v>466</v>
      </c>
      <c r="B6" s="48">
        <f>B4+1</f>
        <v>2</v>
      </c>
      <c r="C6" s="28" t="s">
        <v>795</v>
      </c>
      <c r="D6" s="630" t="s">
        <v>60</v>
      </c>
      <c r="E6" s="631"/>
      <c r="F6" s="631"/>
      <c r="G6" s="632"/>
      <c r="H6" s="628"/>
      <c r="I6" s="629"/>
    </row>
    <row r="7" spans="1:9" x14ac:dyDescent="0.35">
      <c r="A7" s="528" t="s">
        <v>466</v>
      </c>
      <c r="B7" s="528">
        <f>B6+1</f>
        <v>3</v>
      </c>
      <c r="C7" s="380" t="s">
        <v>137</v>
      </c>
      <c r="D7" s="8">
        <v>1</v>
      </c>
      <c r="E7" s="392" t="s">
        <v>138</v>
      </c>
      <c r="F7" s="392"/>
      <c r="G7" s="361"/>
      <c r="H7" s="496" t="s">
        <v>796</v>
      </c>
      <c r="I7" s="609"/>
    </row>
    <row r="8" spans="1:9" x14ac:dyDescent="0.35">
      <c r="A8" s="529"/>
      <c r="B8" s="529"/>
      <c r="C8" s="362"/>
      <c r="D8" s="12">
        <f>D7+1</f>
        <v>2</v>
      </c>
      <c r="E8" s="393" t="s">
        <v>139</v>
      </c>
      <c r="F8" s="393"/>
      <c r="G8" s="348"/>
      <c r="H8" s="610"/>
      <c r="I8" s="611"/>
    </row>
    <row r="9" spans="1:9" x14ac:dyDescent="0.35">
      <c r="A9" s="608"/>
      <c r="B9" s="608"/>
      <c r="C9" s="363"/>
      <c r="D9" s="9">
        <f>D8+1</f>
        <v>3</v>
      </c>
      <c r="E9" s="394" t="s">
        <v>140</v>
      </c>
      <c r="F9" s="394"/>
      <c r="G9" s="377"/>
      <c r="H9" s="406"/>
      <c r="I9" s="530"/>
    </row>
    <row r="10" spans="1:9" x14ac:dyDescent="0.35">
      <c r="A10" s="528" t="s">
        <v>466</v>
      </c>
      <c r="B10" s="528">
        <f>B7+1</f>
        <v>4</v>
      </c>
      <c r="C10" s="380" t="s">
        <v>141</v>
      </c>
      <c r="D10" s="8">
        <v>1</v>
      </c>
      <c r="E10" s="392" t="s">
        <v>142</v>
      </c>
      <c r="F10" s="392"/>
      <c r="G10" s="361"/>
      <c r="H10" s="85"/>
      <c r="I10" s="86"/>
    </row>
    <row r="11" spans="1:9" x14ac:dyDescent="0.35">
      <c r="A11" s="529"/>
      <c r="B11" s="529"/>
      <c r="C11" s="362"/>
      <c r="D11" s="12">
        <f>D10+1</f>
        <v>2</v>
      </c>
      <c r="E11" s="393" t="s">
        <v>143</v>
      </c>
      <c r="F11" s="393"/>
      <c r="G11" s="348"/>
      <c r="H11" s="87"/>
      <c r="I11" s="88"/>
    </row>
    <row r="12" spans="1:9" x14ac:dyDescent="0.35">
      <c r="A12" s="529"/>
      <c r="B12" s="529"/>
      <c r="C12" s="362"/>
      <c r="D12" s="12">
        <f>D11+1</f>
        <v>3</v>
      </c>
      <c r="E12" s="393" t="s">
        <v>144</v>
      </c>
      <c r="F12" s="393"/>
      <c r="G12" s="348"/>
      <c r="H12" s="87"/>
      <c r="I12" s="88"/>
    </row>
    <row r="13" spans="1:9" ht="15" thickBot="1" x14ac:dyDescent="0.4">
      <c r="A13" s="608"/>
      <c r="B13" s="608"/>
      <c r="C13" s="363"/>
      <c r="D13" s="9">
        <f>D12+1</f>
        <v>4</v>
      </c>
      <c r="E13" s="394" t="s">
        <v>145</v>
      </c>
      <c r="F13" s="394"/>
      <c r="G13" s="377"/>
      <c r="H13" s="89"/>
      <c r="I13" s="90"/>
    </row>
    <row r="14" spans="1:9" x14ac:dyDescent="0.35">
      <c r="A14" s="528" t="s">
        <v>466</v>
      </c>
      <c r="B14" s="528">
        <f>B10+1</f>
        <v>5</v>
      </c>
      <c r="C14" s="643" t="s">
        <v>146</v>
      </c>
      <c r="D14" s="8">
        <v>1</v>
      </c>
      <c r="E14" s="392" t="s">
        <v>147</v>
      </c>
      <c r="F14" s="392"/>
      <c r="G14" s="361"/>
      <c r="H14" s="85"/>
      <c r="I14" s="86"/>
    </row>
    <row r="15" spans="1:9" x14ac:dyDescent="0.35">
      <c r="A15" s="529"/>
      <c r="B15" s="529"/>
      <c r="C15" s="644"/>
      <c r="D15" s="12">
        <f>D14+1</f>
        <v>2</v>
      </c>
      <c r="E15" s="393" t="s">
        <v>148</v>
      </c>
      <c r="F15" s="393"/>
      <c r="G15" s="348"/>
      <c r="H15" s="87"/>
      <c r="I15" s="88"/>
    </row>
    <row r="16" spans="1:9" x14ac:dyDescent="0.35">
      <c r="A16" s="529"/>
      <c r="B16" s="529"/>
      <c r="C16" s="644"/>
      <c r="D16" s="12">
        <f>D15+1</f>
        <v>3</v>
      </c>
      <c r="E16" s="393" t="s">
        <v>149</v>
      </c>
      <c r="F16" s="393"/>
      <c r="G16" s="348"/>
      <c r="H16" s="87"/>
      <c r="I16" s="88"/>
    </row>
    <row r="17" spans="1:9" ht="15" thickBot="1" x14ac:dyDescent="0.4">
      <c r="A17" s="608"/>
      <c r="B17" s="608"/>
      <c r="C17" s="645"/>
      <c r="D17" s="9">
        <f>D16+1</f>
        <v>4</v>
      </c>
      <c r="E17" s="394" t="s">
        <v>150</v>
      </c>
      <c r="F17" s="394"/>
      <c r="G17" s="377"/>
      <c r="H17" s="89"/>
      <c r="I17" s="90"/>
    </row>
    <row r="18" spans="1:9" x14ac:dyDescent="0.35">
      <c r="A18" s="528" t="s">
        <v>466</v>
      </c>
      <c r="B18" s="528">
        <f>B14+1</f>
        <v>6</v>
      </c>
      <c r="C18" s="643" t="s">
        <v>151</v>
      </c>
      <c r="D18" s="8">
        <v>1</v>
      </c>
      <c r="E18" s="392" t="s">
        <v>152</v>
      </c>
      <c r="F18" s="392"/>
      <c r="G18" s="361"/>
      <c r="H18" s="85"/>
      <c r="I18" s="86"/>
    </row>
    <row r="19" spans="1:9" x14ac:dyDescent="0.35">
      <c r="A19" s="529"/>
      <c r="B19" s="529"/>
      <c r="C19" s="362"/>
      <c r="D19" s="12">
        <f>D18+1</f>
        <v>2</v>
      </c>
      <c r="E19" s="393" t="s">
        <v>153</v>
      </c>
      <c r="F19" s="393"/>
      <c r="G19" s="348"/>
      <c r="H19" s="87"/>
      <c r="I19" s="88"/>
    </row>
    <row r="20" spans="1:9" ht="30.75" customHeight="1" x14ac:dyDescent="0.35">
      <c r="A20" s="529"/>
      <c r="B20" s="529"/>
      <c r="C20" s="362"/>
      <c r="D20" s="12">
        <f>D19+1</f>
        <v>3</v>
      </c>
      <c r="E20" s="393" t="s">
        <v>154</v>
      </c>
      <c r="F20" s="393"/>
      <c r="G20" s="348"/>
      <c r="H20" s="87"/>
      <c r="I20" s="88"/>
    </row>
    <row r="21" spans="1:9" ht="33" customHeight="1" x14ac:dyDescent="0.35">
      <c r="A21" s="529"/>
      <c r="B21" s="529"/>
      <c r="C21" s="362"/>
      <c r="D21" s="12">
        <f>D20+1</f>
        <v>4</v>
      </c>
      <c r="E21" s="393" t="s">
        <v>155</v>
      </c>
      <c r="F21" s="393"/>
      <c r="G21" s="348"/>
      <c r="H21" s="87"/>
      <c r="I21" s="88"/>
    </row>
    <row r="22" spans="1:9" x14ac:dyDescent="0.35">
      <c r="A22" s="608"/>
      <c r="B22" s="608"/>
      <c r="C22" s="363"/>
      <c r="D22" s="9">
        <f>D21+1</f>
        <v>5</v>
      </c>
      <c r="E22" s="394" t="s">
        <v>156</v>
      </c>
      <c r="F22" s="394"/>
      <c r="G22" s="377"/>
      <c r="H22" s="89"/>
      <c r="I22" s="90"/>
    </row>
    <row r="23" spans="1:9" x14ac:dyDescent="0.35">
      <c r="A23" s="529" t="s">
        <v>466</v>
      </c>
      <c r="B23" s="636">
        <f>B18+1</f>
        <v>7</v>
      </c>
      <c r="C23" s="638" t="s">
        <v>157</v>
      </c>
      <c r="D23" s="91">
        <v>1</v>
      </c>
      <c r="E23" s="393" t="s">
        <v>5</v>
      </c>
      <c r="F23" s="393"/>
      <c r="G23" s="348"/>
      <c r="H23" s="92" t="s">
        <v>158</v>
      </c>
      <c r="I23" s="93">
        <f>B30</f>
        <v>9</v>
      </c>
    </row>
    <row r="24" spans="1:9" x14ac:dyDescent="0.35">
      <c r="A24" s="529"/>
      <c r="B24" s="636"/>
      <c r="C24" s="638"/>
      <c r="D24" s="91">
        <v>2</v>
      </c>
      <c r="E24" s="393" t="s">
        <v>159</v>
      </c>
      <c r="F24" s="393"/>
      <c r="G24" s="348"/>
      <c r="H24" s="94"/>
      <c r="I24" s="95"/>
    </row>
    <row r="25" spans="1:9" x14ac:dyDescent="0.35">
      <c r="A25" s="529"/>
      <c r="B25" s="636"/>
      <c r="C25" s="638"/>
      <c r="D25" s="91">
        <v>3</v>
      </c>
      <c r="E25" s="393" t="s">
        <v>160</v>
      </c>
      <c r="F25" s="393"/>
      <c r="G25" s="23"/>
      <c r="H25" s="94"/>
      <c r="I25" s="95"/>
    </row>
    <row r="26" spans="1:9" x14ac:dyDescent="0.35">
      <c r="A26" s="529"/>
      <c r="B26" s="636"/>
      <c r="C26" s="638"/>
      <c r="D26" s="91">
        <v>4</v>
      </c>
      <c r="E26" s="32" t="s">
        <v>161</v>
      </c>
      <c r="F26" s="32"/>
      <c r="G26" s="23"/>
      <c r="H26" s="94"/>
      <c r="I26" s="95"/>
    </row>
    <row r="27" spans="1:9" x14ac:dyDescent="0.35">
      <c r="A27" s="529"/>
      <c r="B27" s="636"/>
      <c r="C27" s="638"/>
      <c r="D27" s="91">
        <v>5</v>
      </c>
      <c r="E27" s="393" t="s">
        <v>162</v>
      </c>
      <c r="F27" s="393"/>
      <c r="G27" s="23"/>
      <c r="H27" s="94"/>
      <c r="I27" s="95"/>
    </row>
    <row r="28" spans="1:9" x14ac:dyDescent="0.35">
      <c r="A28" s="608"/>
      <c r="B28" s="637"/>
      <c r="C28" s="639"/>
      <c r="D28" s="96">
        <v>-66</v>
      </c>
      <c r="E28" s="483" t="s">
        <v>163</v>
      </c>
      <c r="F28" s="483"/>
      <c r="G28" s="484"/>
      <c r="H28" s="92"/>
      <c r="I28" s="93"/>
    </row>
    <row r="29" spans="1:9" ht="52" x14ac:dyDescent="0.35">
      <c r="A29" s="200" t="s">
        <v>466</v>
      </c>
      <c r="B29" s="83">
        <f>B23+1</f>
        <v>8</v>
      </c>
      <c r="C29" s="17" t="s">
        <v>164</v>
      </c>
      <c r="D29" s="640"/>
      <c r="E29" s="641"/>
      <c r="F29" s="641"/>
      <c r="G29" s="642"/>
      <c r="H29" s="84"/>
      <c r="I29" s="84"/>
    </row>
    <row r="30" spans="1:9" ht="32.25" customHeight="1" x14ac:dyDescent="0.35">
      <c r="A30" s="201" t="s">
        <v>466</v>
      </c>
      <c r="B30" s="83">
        <f>B29+1</f>
        <v>9</v>
      </c>
      <c r="C30" s="17" t="s">
        <v>165</v>
      </c>
      <c r="D30" s="640"/>
      <c r="E30" s="641"/>
      <c r="F30" s="641"/>
      <c r="G30" s="642"/>
      <c r="H30" s="84"/>
      <c r="I30" s="84"/>
    </row>
    <row r="31" spans="1:9" x14ac:dyDescent="0.35">
      <c r="A31" s="83" t="s">
        <v>466</v>
      </c>
      <c r="B31" s="83">
        <f>B30+1</f>
        <v>10</v>
      </c>
      <c r="C31" s="17" t="s">
        <v>166</v>
      </c>
      <c r="D31" s="633" t="s">
        <v>167</v>
      </c>
      <c r="E31" s="634"/>
      <c r="F31" s="634"/>
      <c r="G31" s="635"/>
      <c r="H31" s="84"/>
      <c r="I31" s="84"/>
    </row>
  </sheetData>
  <mergeCells count="52">
    <mergeCell ref="A14:A17"/>
    <mergeCell ref="B14:B17"/>
    <mergeCell ref="C14:C17"/>
    <mergeCell ref="E14:G14"/>
    <mergeCell ref="E15:G15"/>
    <mergeCell ref="E16:G16"/>
    <mergeCell ref="E17:G17"/>
    <mergeCell ref="A18:A22"/>
    <mergeCell ref="B18:B22"/>
    <mergeCell ref="C18:C22"/>
    <mergeCell ref="E18:G18"/>
    <mergeCell ref="E19:G19"/>
    <mergeCell ref="E20:G20"/>
    <mergeCell ref="E21:G21"/>
    <mergeCell ref="E22:G22"/>
    <mergeCell ref="D31:G31"/>
    <mergeCell ref="A23:A28"/>
    <mergeCell ref="B23:B28"/>
    <mergeCell ref="C23:C28"/>
    <mergeCell ref="E23:G23"/>
    <mergeCell ref="E24:G24"/>
    <mergeCell ref="E28:G28"/>
    <mergeCell ref="D30:G30"/>
    <mergeCell ref="E25:F25"/>
    <mergeCell ref="E27:F27"/>
    <mergeCell ref="D29:G29"/>
    <mergeCell ref="H7:I9"/>
    <mergeCell ref="A1:G1"/>
    <mergeCell ref="B2:I2"/>
    <mergeCell ref="A3:B3"/>
    <mergeCell ref="D3:E3"/>
    <mergeCell ref="H3:I3"/>
    <mergeCell ref="A4:A5"/>
    <mergeCell ref="B4:B5"/>
    <mergeCell ref="C4:C5"/>
    <mergeCell ref="E4:G4"/>
    <mergeCell ref="E5:G5"/>
    <mergeCell ref="A7:A9"/>
    <mergeCell ref="B7:B9"/>
    <mergeCell ref="H4:I6"/>
    <mergeCell ref="D6:G6"/>
    <mergeCell ref="E9:G9"/>
    <mergeCell ref="C7:C9"/>
    <mergeCell ref="E7:G7"/>
    <mergeCell ref="E8:G8"/>
    <mergeCell ref="A10:A13"/>
    <mergeCell ref="B10:B13"/>
    <mergeCell ref="C10:C13"/>
    <mergeCell ref="E10:G10"/>
    <mergeCell ref="E11:G11"/>
    <mergeCell ref="E12:G12"/>
    <mergeCell ref="E13:G13"/>
  </mergeCells>
  <pageMargins left="0.7" right="0.7" top="0.75" bottom="0.75" header="0.3" footer="0.3"/>
  <pageSetup orientation="portrait" r:id="rId1"/>
  <headerFooter>
    <oddHeader xml:space="preserve">&amp;CN. END OF SURVEY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7"/>
  <sheetViews>
    <sheetView view="pageLayout" zoomScaleNormal="100" workbookViewId="0">
      <selection activeCell="A10" sqref="A10"/>
    </sheetView>
  </sheetViews>
  <sheetFormatPr defaultRowHeight="14.5" x14ac:dyDescent="0.35"/>
  <cols>
    <col min="1" max="1" width="53.54296875" customWidth="1"/>
  </cols>
  <sheetData>
    <row r="1" spans="1:1" ht="19" x14ac:dyDescent="0.35">
      <c r="A1" s="303" t="s">
        <v>744</v>
      </c>
    </row>
    <row r="2" spans="1:1" ht="15" x14ac:dyDescent="0.35">
      <c r="A2" s="304" t="s">
        <v>745</v>
      </c>
    </row>
    <row r="3" spans="1:1" x14ac:dyDescent="0.35">
      <c r="A3" s="305" t="s">
        <v>746</v>
      </c>
    </row>
    <row r="4" spans="1:1" x14ac:dyDescent="0.35">
      <c r="A4" s="305" t="s">
        <v>747</v>
      </c>
    </row>
    <row r="5" spans="1:1" x14ac:dyDescent="0.35">
      <c r="A5" s="305" t="s">
        <v>748</v>
      </c>
    </row>
    <row r="6" spans="1:1" x14ac:dyDescent="0.35">
      <c r="A6" s="305" t="s">
        <v>749</v>
      </c>
    </row>
    <row r="7" spans="1:1" x14ac:dyDescent="0.35">
      <c r="A7" s="305" t="s">
        <v>750</v>
      </c>
    </row>
    <row r="8" spans="1:1" x14ac:dyDescent="0.35">
      <c r="A8" s="305" t="s">
        <v>751</v>
      </c>
    </row>
    <row r="9" spans="1:1" x14ac:dyDescent="0.35">
      <c r="A9" s="306" t="s">
        <v>752</v>
      </c>
    </row>
    <row r="10" spans="1:1" x14ac:dyDescent="0.35">
      <c r="A10" s="305" t="s">
        <v>753</v>
      </c>
    </row>
    <row r="11" spans="1:1" x14ac:dyDescent="0.35">
      <c r="A11" s="305" t="s">
        <v>754</v>
      </c>
    </row>
    <row r="12" spans="1:1" x14ac:dyDescent="0.35">
      <c r="A12" s="305" t="s">
        <v>755</v>
      </c>
    </row>
    <row r="13" spans="1:1" x14ac:dyDescent="0.35">
      <c r="A13" s="305" t="s">
        <v>756</v>
      </c>
    </row>
    <row r="14" spans="1:1" x14ac:dyDescent="0.35">
      <c r="A14" s="305" t="s">
        <v>757</v>
      </c>
    </row>
    <row r="15" spans="1:1" x14ac:dyDescent="0.35">
      <c r="A15" s="306" t="s">
        <v>758</v>
      </c>
    </row>
    <row r="16" spans="1:1" x14ac:dyDescent="0.35">
      <c r="A16" s="305" t="s">
        <v>759</v>
      </c>
    </row>
    <row r="17" spans="1:1" x14ac:dyDescent="0.35">
      <c r="A17" s="307"/>
    </row>
  </sheetData>
  <pageMargins left="0.7" right="0.7" top="0.75" bottom="0.75" header="0.3" footer="0.3"/>
  <pageSetup orientation="portrait" horizontalDpi="1200" verticalDpi="1200" r:id="rId1"/>
  <headerFooter>
    <oddHeader xml:space="preserve">&amp;CTHE SURVEY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 Introduction</vt:lpstr>
      <vt:lpstr>B. Basic Info</vt:lpstr>
      <vt:lpstr>C. Food Expenditure</vt:lpstr>
      <vt:lpstr>D. Non-food Expenditure</vt:lpstr>
      <vt:lpstr>G. Income</vt:lpstr>
      <vt:lpstr>E. Business expenditure</vt:lpstr>
      <vt:lpstr>F. Plans </vt:lpstr>
      <vt:lpstr>H. Time use</vt:lpstr>
      <vt:lpstr>I-K. Savings &amp; Transfers</vt:lpstr>
      <vt:lpstr>I+L. Borrowing </vt:lpstr>
      <vt:lpstr>M. LENDING </vt:lpstr>
      <vt:lpstr>J. Food Security</vt:lpstr>
      <vt:lpstr>N. Wrap-up</vt:lpstr>
      <vt:lpstr>Sections in Survey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IPAadmin</dc:creator>
  <cp:lastModifiedBy>Pamela Jakiela</cp:lastModifiedBy>
  <cp:lastPrinted>2014-02-24T12:41:26Z</cp:lastPrinted>
  <dcterms:created xsi:type="dcterms:W3CDTF">2013-08-02T07:23:48Z</dcterms:created>
  <dcterms:modified xsi:type="dcterms:W3CDTF">2026-01-30T15:18:22Z</dcterms:modified>
</cp:coreProperties>
</file>