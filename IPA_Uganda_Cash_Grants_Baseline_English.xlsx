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ate1904="1" autoCompressPictures="0" defaultThemeVersion="124226"/>
  <mc:AlternateContent xmlns:mc="http://schemas.openxmlformats.org/markup-compatibility/2006">
    <mc:Choice Requires="x15">
      <x15ac:absPath xmlns:x15ac="http://schemas.microsoft.com/office/spreadsheetml/2010/11/ac" url="C:\Users\pjaki\Dropbox\TASO\Instruments\posted\"/>
    </mc:Choice>
  </mc:AlternateContent>
  <xr:revisionPtr revIDLastSave="0" documentId="13_ncr:1_{D71FFBF4-E020-4500-AF5C-50CDD20D6BFF}" xr6:coauthVersionLast="47" xr6:coauthVersionMax="47" xr10:uidLastSave="{00000000-0000-0000-0000-000000000000}"/>
  <bookViews>
    <workbookView xWindow="-10540" yWindow="-20040" windowWidth="27000" windowHeight="18460" tabRatio="693" activeTab="3" xr2:uid="{00000000-000D-0000-FFFF-FFFF00000000}"/>
  </bookViews>
  <sheets>
    <sheet name="Intro" sheetId="17" r:id="rId1"/>
    <sheet name="Basic Info" sheetId="15" r:id="rId2"/>
    <sheet name="Ed-Lit" sheetId="32" r:id="rId3"/>
    <sheet name="HH Info" sheetId="34" r:id="rId4"/>
    <sheet name="HH Child Roster" sheetId="16" r:id="rId5"/>
    <sheet name="HH Resources" sheetId="4" r:id="rId6"/>
    <sheet name="Numeracy" sheetId="23" r:id="rId7"/>
    <sheet name="Income" sheetId="29" r:id="rId8"/>
    <sheet name="Time Use" sheetId="26" r:id="rId9"/>
    <sheet name="Savings and Loans" sheetId="30" r:id="rId10"/>
    <sheet name="Food Security" sheetId="33" r:id="rId11"/>
    <sheet name="Social Capital" sheetId="8" r:id="rId12"/>
    <sheet name="Soc Cap 2" sheetId="35" r:id="rId13"/>
    <sheet name="Sexual Activity" sheetId="25" r:id="rId14"/>
    <sheet name="Raven's Test" sheetId="21" r:id="rId15"/>
    <sheet name="Wrap-up" sheetId="22" r:id="rId16"/>
  </sheets>
  <definedNames>
    <definedName name="_Ref266541965" localSheetId="5">'HH Resources'!#REF!</definedName>
    <definedName name="_Ref267322797" localSheetId="7">Income!#REF!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D15" i="15" l="1"/>
  <c r="D16" i="15" s="1"/>
  <c r="D17" i="15" s="1"/>
  <c r="D18" i="15" s="1"/>
  <c r="D19" i="15" s="1"/>
  <c r="D10" i="15"/>
  <c r="D11" i="15" s="1"/>
  <c r="D12" i="15" s="1"/>
  <c r="D13" i="15" s="1"/>
  <c r="D53" i="15"/>
  <c r="D54" i="15" s="1"/>
  <c r="D55" i="15" s="1"/>
  <c r="D56" i="15" s="1"/>
  <c r="D57" i="15" s="1"/>
  <c r="D41" i="15"/>
  <c r="D42" i="15" s="1"/>
  <c r="D43" i="15" s="1"/>
  <c r="D44" i="15" s="1"/>
  <c r="D45" i="15" s="1"/>
  <c r="D46" i="15" s="1"/>
  <c r="D47" i="15" s="1"/>
  <c r="D23" i="15"/>
  <c r="D24" i="15" s="1"/>
  <c r="D25" i="15" s="1"/>
  <c r="D26" i="15" s="1"/>
  <c r="D27" i="15" s="1"/>
  <c r="D28" i="15" s="1"/>
  <c r="D29" i="15" s="1"/>
  <c r="D30" i="15" s="1"/>
  <c r="D31" i="15" s="1"/>
  <c r="D32" i="15" s="1"/>
  <c r="D33" i="15" s="1"/>
  <c r="D34" i="15" s="1"/>
  <c r="D35" i="15" s="1"/>
  <c r="D36" i="15" s="1"/>
  <c r="B40" i="15"/>
  <c r="B52" i="15" s="1"/>
  <c r="B8" i="32"/>
  <c r="B10" i="32" s="1"/>
  <c r="B12" i="32" s="1"/>
  <c r="B13" i="32" s="1"/>
  <c r="B14" i="32" s="1"/>
  <c r="B17" i="32" s="1"/>
  <c r="B22" i="32" s="1"/>
  <c r="D18" i="32"/>
  <c r="D19" i="32" s="1"/>
  <c r="D28" i="33"/>
  <c r="D29" i="33" s="1"/>
  <c r="D19" i="33"/>
  <c r="D20" i="33" s="1"/>
  <c r="G17" i="33"/>
  <c r="G16" i="33"/>
  <c r="G15" i="33"/>
  <c r="D10" i="33"/>
  <c r="D11" i="33" s="1"/>
  <c r="G8" i="33"/>
  <c r="G7" i="33"/>
  <c r="G6" i="33"/>
  <c r="B8" i="34"/>
  <c r="B10" i="34" s="1"/>
  <c r="D11" i="34"/>
  <c r="D12" i="34" s="1"/>
  <c r="D13" i="34" s="1"/>
  <c r="D14" i="34" s="1"/>
  <c r="D15" i="34" s="1"/>
  <c r="D16" i="34" s="1"/>
  <c r="D17" i="34" s="1"/>
  <c r="D18" i="34" s="1"/>
  <c r="D19" i="34" s="1"/>
  <c r="D20" i="34" s="1"/>
  <c r="G10" i="34"/>
  <c r="G6" i="34"/>
  <c r="B28" i="34"/>
  <c r="B31" i="34" s="1"/>
  <c r="B32" i="34" s="1"/>
  <c r="B33" i="34" s="1"/>
  <c r="B34" i="34" s="1"/>
  <c r="B35" i="34" s="1"/>
  <c r="B36" i="34" s="1"/>
  <c r="B37" i="34" s="1"/>
  <c r="B38" i="34" s="1"/>
  <c r="B39" i="34" s="1"/>
  <c r="B40" i="34" s="1"/>
  <c r="B41" i="34" s="1"/>
  <c r="B42" i="34" s="1"/>
  <c r="B43" i="34" s="1"/>
  <c r="B44" i="34" s="1"/>
  <c r="B83" i="4"/>
  <c r="B84" i="4" s="1"/>
  <c r="B85" i="4" s="1"/>
  <c r="B8" i="4"/>
  <c r="G80" i="4"/>
  <c r="D58" i="4"/>
  <c r="D59" i="4" s="1"/>
  <c r="D60" i="4" s="1"/>
  <c r="D61" i="4" s="1"/>
  <c r="D62" i="4" s="1"/>
  <c r="D63" i="4" s="1"/>
  <c r="B18" i="4"/>
  <c r="B27" i="4"/>
  <c r="B38" i="4" s="1"/>
  <c r="B46" i="4" s="1"/>
  <c r="B57" i="4" s="1"/>
  <c r="B65" i="4" s="1"/>
  <c r="B67" i="4" s="1"/>
  <c r="D68" i="4"/>
  <c r="D69" i="4"/>
  <c r="D70" i="4" s="1"/>
  <c r="D71" i="4" s="1"/>
  <c r="D72" i="4" s="1"/>
  <c r="D73" i="4" s="1"/>
  <c r="D74" i="4" s="1"/>
  <c r="D75" i="4" s="1"/>
  <c r="D76" i="4" s="1"/>
  <c r="D47" i="4"/>
  <c r="D48" i="4" s="1"/>
  <c r="D49" i="4" s="1"/>
  <c r="D50" i="4" s="1"/>
  <c r="D51" i="4" s="1"/>
  <c r="D52" i="4" s="1"/>
  <c r="D53" i="4" s="1"/>
  <c r="D54" i="4" s="1"/>
  <c r="B92" i="4"/>
  <c r="B93" i="4" s="1"/>
  <c r="B94" i="4" s="1"/>
  <c r="B95" i="4" s="1"/>
  <c r="B97" i="4" s="1"/>
  <c r="B98" i="4" s="1"/>
  <c r="B99" i="4" s="1"/>
  <c r="B100" i="4" s="1"/>
  <c r="B101" i="4" s="1"/>
  <c r="B102" i="4" s="1"/>
  <c r="B104" i="4" s="1"/>
  <c r="B108" i="4" s="1"/>
  <c r="B8" i="29"/>
  <c r="B10" i="29" s="1"/>
  <c r="B12" i="29" s="1"/>
  <c r="B14" i="29" s="1"/>
  <c r="B17" i="29" s="1"/>
  <c r="B20" i="29" s="1"/>
  <c r="D25" i="29"/>
  <c r="D26" i="29" s="1"/>
  <c r="D27" i="29" s="1"/>
  <c r="D21" i="29"/>
  <c r="D22" i="29"/>
  <c r="D23" i="29" s="1"/>
  <c r="B7" i="17"/>
  <c r="B8" i="17"/>
  <c r="B11" i="17" s="1"/>
  <c r="B12" i="17" s="1"/>
  <c r="D9" i="17"/>
  <c r="D10" i="17" s="1"/>
  <c r="D36" i="17"/>
  <c r="D62" i="17"/>
  <c r="D63" i="17" s="1"/>
  <c r="D64" i="17" s="1"/>
  <c r="D57" i="17"/>
  <c r="D58" i="17"/>
  <c r="D59" i="17" s="1"/>
  <c r="D60" i="17" s="1"/>
  <c r="D47" i="17"/>
  <c r="D26" i="17"/>
  <c r="D55" i="17"/>
  <c r="D49" i="17"/>
  <c r="D50" i="17" s="1"/>
  <c r="D51" i="17" s="1"/>
  <c r="D24" i="17"/>
  <c r="B14" i="17"/>
  <c r="B15" i="17" s="1"/>
  <c r="B20" i="17"/>
  <c r="B21" i="17" s="1"/>
  <c r="B22" i="17" s="1"/>
  <c r="B23" i="17" s="1"/>
  <c r="B28" i="17" s="1"/>
  <c r="B29" i="17" s="1"/>
  <c r="B30" i="17" s="1"/>
  <c r="B31" i="17" s="1"/>
  <c r="B32" i="17" s="1"/>
  <c r="B33" i="17" s="1"/>
  <c r="B34" i="17" s="1"/>
  <c r="B35" i="17" s="1"/>
  <c r="B37" i="17" s="1"/>
  <c r="B38" i="17" s="1"/>
  <c r="B42" i="17"/>
  <c r="B43" i="17"/>
  <c r="B44" i="17" s="1"/>
  <c r="B45" i="17" s="1"/>
  <c r="B46" i="17" s="1"/>
  <c r="B48" i="17" s="1"/>
  <c r="B54" i="17" s="1"/>
  <c r="B56" i="17" s="1"/>
  <c r="B61" i="17" s="1"/>
  <c r="B9" i="23"/>
  <c r="B13" i="23" s="1"/>
  <c r="B17" i="23" s="1"/>
  <c r="B21" i="23" s="1"/>
  <c r="D95" i="30"/>
  <c r="D96" i="30"/>
  <c r="D97" i="30" s="1"/>
  <c r="D98" i="30" s="1"/>
  <c r="D99" i="30" s="1"/>
  <c r="D100" i="30" s="1"/>
  <c r="D101" i="30" s="1"/>
  <c r="D102" i="30" s="1"/>
  <c r="D103" i="30" s="1"/>
  <c r="D104" i="30" s="1"/>
  <c r="D105" i="30" s="1"/>
  <c r="D106" i="30" s="1"/>
  <c r="B111" i="30"/>
  <c r="B113" i="30" s="1"/>
  <c r="G81" i="30"/>
  <c r="B9" i="30"/>
  <c r="B10" i="30" s="1"/>
  <c r="B11" i="30" s="1"/>
  <c r="B12" i="30" s="1"/>
  <c r="B13" i="30" s="1"/>
  <c r="B14" i="30" s="1"/>
  <c r="B15" i="30" s="1"/>
  <c r="B16" i="30" s="1"/>
  <c r="B17" i="30" s="1"/>
  <c r="B19" i="30" s="1"/>
  <c r="G71" i="30"/>
  <c r="D83" i="30"/>
  <c r="D84" i="30"/>
  <c r="D85" i="30" s="1"/>
  <c r="D86" i="30" s="1"/>
  <c r="D87" i="30" s="1"/>
  <c r="D88" i="30" s="1"/>
  <c r="D89" i="30" s="1"/>
  <c r="D74" i="30"/>
  <c r="D75" i="30" s="1"/>
  <c r="D76" i="30" s="1"/>
  <c r="D77" i="30" s="1"/>
  <c r="D78" i="30" s="1"/>
  <c r="D79" i="30" s="1"/>
  <c r="D80" i="30" s="1"/>
  <c r="D62" i="30"/>
  <c r="D63" i="30" s="1"/>
  <c r="D64" i="30" s="1"/>
  <c r="D65" i="30" s="1"/>
  <c r="D66" i="30" s="1"/>
  <c r="D67" i="30" s="1"/>
  <c r="D68" i="30" s="1"/>
  <c r="G59" i="30"/>
  <c r="G47" i="30"/>
  <c r="D50" i="30"/>
  <c r="D51" i="30" s="1"/>
  <c r="D52" i="30" s="1"/>
  <c r="D53" i="30" s="1"/>
  <c r="D54" i="30" s="1"/>
  <c r="D55" i="30" s="1"/>
  <c r="D56" i="30" s="1"/>
  <c r="D34" i="30"/>
  <c r="D35" i="30"/>
  <c r="D36" i="30" s="1"/>
  <c r="D37" i="30"/>
  <c r="D38" i="30" s="1"/>
  <c r="D39" i="30" s="1"/>
  <c r="D23" i="30"/>
  <c r="D24" i="30" s="1"/>
  <c r="D25" i="30" s="1"/>
  <c r="D26" i="30" s="1"/>
  <c r="D27" i="30" s="1"/>
  <c r="D28" i="30" s="1"/>
  <c r="G21" i="30"/>
  <c r="G32" i="30"/>
  <c r="G18" i="30"/>
  <c r="B43" i="30"/>
  <c r="G20" i="25"/>
  <c r="D26" i="25"/>
  <c r="D27" i="25" s="1"/>
  <c r="D28" i="25" s="1"/>
  <c r="D29" i="25" s="1"/>
  <c r="B16" i="35"/>
  <c r="B22" i="35" s="1"/>
  <c r="B28" i="35" s="1"/>
  <c r="D26" i="8"/>
  <c r="D27" i="8"/>
  <c r="D28" i="8" s="1"/>
  <c r="D29" i="8" s="1"/>
  <c r="D30" i="8" s="1"/>
  <c r="D31" i="8" s="1"/>
  <c r="B10" i="8"/>
  <c r="D33" i="8"/>
  <c r="D34" i="8" s="1"/>
  <c r="D35" i="8" s="1"/>
  <c r="D36" i="8" s="1"/>
  <c r="B11" i="8"/>
  <c r="B12" i="8" s="1"/>
  <c r="B13" i="8" s="1"/>
  <c r="B14" i="8" s="1"/>
  <c r="B15" i="8" s="1"/>
  <c r="B16" i="8" s="1"/>
  <c r="B17" i="8" s="1"/>
  <c r="B19" i="8" s="1"/>
  <c r="B23" i="8" s="1"/>
  <c r="B25" i="8" s="1"/>
  <c r="B32" i="8" s="1"/>
  <c r="B7" i="22"/>
  <c r="B9" i="22" s="1"/>
  <c r="B12" i="22" s="1"/>
  <c r="B16" i="22" s="1"/>
  <c r="B20" i="22" s="1"/>
  <c r="B25" i="22" s="1"/>
  <c r="B31" i="22" s="1"/>
  <c r="B32" i="22" s="1"/>
  <c r="D10" i="22"/>
  <c r="D11" i="22" s="1"/>
  <c r="D21" i="22"/>
  <c r="D22" i="22" s="1"/>
  <c r="D23" i="22" s="1"/>
  <c r="D24" i="22" s="1"/>
  <c r="D17" i="22"/>
  <c r="D18" i="22" s="1"/>
  <c r="D19" i="22" s="1"/>
  <c r="D13" i="22"/>
  <c r="D14" i="22" s="1"/>
  <c r="D15" i="22" s="1"/>
  <c r="B33" i="22" l="1"/>
  <c r="I25" i="22"/>
  <c r="G63" i="4"/>
  <c r="B78" i="4"/>
  <c r="B79" i="4" s="1"/>
  <c r="B24" i="29"/>
  <c r="B28" i="29" s="1"/>
  <c r="G11" i="29"/>
  <c r="G76" i="4" l="1"/>
  <c r="G67" i="4"/>
  <c r="G22" i="29"/>
  <c r="G21" i="29"/>
  <c r="B30" i="29"/>
  <c r="B32" i="29" s="1"/>
  <c r="G27" i="29" s="1"/>
  <c r="G20" i="29"/>
</calcChain>
</file>

<file path=xl/sharedStrings.xml><?xml version="1.0" encoding="utf-8"?>
<sst xmlns="http://schemas.openxmlformats.org/spreadsheetml/2006/main" count="1414" uniqueCount="714">
  <si>
    <t>How many times in the last 3 days did you miss taking one of your ART pills?</t>
  </si>
  <si>
    <t>Give loan to someone else</t>
  </si>
  <si>
    <t>Education - school fees/training</t>
  </si>
  <si>
    <r>
      <t>DO NOT READ:</t>
    </r>
    <r>
      <rPr>
        <b/>
        <sz val="10"/>
        <rFont val="Times New Roman"/>
        <family val="1"/>
      </rPr>
      <t xml:space="preserve"> </t>
    </r>
    <r>
      <rPr>
        <sz val="10"/>
        <rFont val="Times New Roman"/>
        <family val="1"/>
      </rPr>
      <t>Were the directions to the responden's household given in the tracking sheet accurate? 
IF NOT, RECORD CORRECT DIRECTIONS ON THE TRACKING SHEET</t>
    </r>
    <phoneticPr fontId="2" type="noConversion"/>
  </si>
  <si>
    <t>à</t>
    <phoneticPr fontId="2" type="noConversion"/>
  </si>
  <si>
    <r>
      <t xml:space="preserve">Read: </t>
    </r>
    <r>
      <rPr>
        <sz val="10"/>
        <rFont val="Times New Roman"/>
        <family val="1"/>
      </rPr>
      <t>Now I’d like to ask you about finding loans and other sources of funds. First let’s discuss money that you borrowed, also known as loans. We define loans as money you received that you have to repay. Loans can come from a formal source such as a bank or microfinance institution, or from an informal source such as a friend, relative or local savings group. These do not have to be big amounts -- even if it is just 1,000, please tell me. We want to talk about your loans, not of other people in your household, so please do not count those.</t>
    </r>
  </si>
  <si>
    <r>
      <t xml:space="preserve">Do you own a business? This includes agricultural businesses, such as growing crops for sale or raising animals.
</t>
    </r>
    <r>
      <rPr>
        <b/>
        <sz val="10"/>
        <rFont val="Times New Roman"/>
        <family val="1"/>
      </rPr>
      <t>This only applies to currently owned businesses. If the respondent sold the business, do not record.</t>
    </r>
    <r>
      <rPr>
        <sz val="10"/>
        <rFont val="Times New Roman"/>
        <family val="1"/>
      </rPr>
      <t xml:space="preserve">
</t>
    </r>
  </si>
  <si>
    <t>→ If no, politely ask to be allowed to interview the respondent alone.  Stress that the interview is private and confidential. If there is no private spot available to conduct the interview, stop the interview and refer the case to the survey supervisor</t>
  </si>
  <si>
    <t xml:space="preserve"> |  __ | __ |</t>
  </si>
  <si>
    <t>Other Christianity (Baptist, Seventh Day Adventist, Mormon, Orthodox, Jehova's Witness, etc)</t>
  </si>
  <si>
    <t>1:Ateso
2:Kumam
3:Runyoro
4:Acholi
5:Alur
6:Langi
7:Luganda
8:English
9:Kiswahili
10:Kinyarwanda
11:Lugunga</t>
  </si>
  <si>
    <t>INSTRUCTIONS: Fill in the following sentence: The respondent is the _______ of the household head.</t>
  </si>
  <si>
    <t>Are you saving for a specific purpose?</t>
  </si>
  <si>
    <t>If yes, what are you saving for?
SELECT ALL THAT APPLY</t>
  </si>
  <si>
    <t xml:space="preserve">Start a business </t>
  </si>
  <si>
    <t>Invest in current business</t>
  </si>
  <si>
    <t>Invest in someone else's business</t>
  </si>
  <si>
    <t>Pay off a loan</t>
  </si>
  <si>
    <t>Basic needs (Food, clothes, etc.)</t>
  </si>
  <si>
    <t>Emergencies</t>
  </si>
  <si>
    <t>Health/medical costs</t>
  </si>
  <si>
    <t>Home/property improvement</t>
  </si>
  <si>
    <t>Asset purchase</t>
  </si>
  <si>
    <t>Land purchase</t>
  </si>
  <si>
    <t>Leisure or luxury (e.g. travel, wedding costs)</t>
  </si>
  <si>
    <t>Other :________</t>
  </si>
  <si>
    <t>4.a.</t>
  </si>
  <si>
    <t>Now I want to ask you about your medication. How many times a day [within 24 hours] are you supposed to take your ART pills?</t>
  </si>
  <si>
    <t>4.b.</t>
  </si>
  <si>
    <r>
      <rPr>
        <b/>
        <sz val="9"/>
        <rFont val="Cambria"/>
        <family val="1"/>
      </rPr>
      <t xml:space="preserve">Read: </t>
    </r>
    <r>
      <rPr>
        <sz val="9"/>
        <rFont val="Cambria"/>
        <family val="1"/>
      </rPr>
      <t>Now we want to ask you about all the children in this household. We only want to know about children</t>
    </r>
    <r>
      <rPr>
        <u/>
        <sz val="9"/>
        <rFont val="Cambria"/>
        <family val="1"/>
      </rPr>
      <t xml:space="preserve"> under 16 years of age who reside in this household</t>
    </r>
    <r>
      <rPr>
        <sz val="9"/>
        <rFont val="Cambria"/>
        <family val="1"/>
      </rPr>
      <t xml:space="preserve">, so if you have children older than 15 or children that do not live in this household, please do not report them. </t>
    </r>
    <r>
      <rPr>
        <b/>
        <sz val="9"/>
        <rFont val="Cambria"/>
        <family val="1"/>
      </rPr>
      <t xml:space="preserve">[If necessary, repeat the household definition].
Instructions: </t>
    </r>
    <r>
      <rPr>
        <sz val="9"/>
        <rFont val="Cambria"/>
        <family val="1"/>
      </rPr>
      <t>List all chidren under 16 years of age from oldest to youngest.  Ask all the questions about each child before moving on to the next child. Do not ask about schooling of children under age 4.</t>
    </r>
  </si>
  <si>
    <t>Is there anyone else who is 15 years old or younger that lives in the household and that we have not discussed yet?</t>
  </si>
  <si>
    <r>
      <rPr>
        <b/>
        <sz val="10"/>
        <rFont val="Times New Roman"/>
        <family val="1"/>
      </rPr>
      <t>Read:</t>
    </r>
    <r>
      <rPr>
        <sz val="10"/>
        <rFont val="Times New Roman"/>
        <family val="1"/>
      </rPr>
      <t xml:space="preserve"> Now we will talk about only the adults in the household, by which I mean people aged 16 or older.</t>
    </r>
  </si>
  <si>
    <r>
      <t xml:space="preserve">How many </t>
    </r>
    <r>
      <rPr>
        <u/>
        <sz val="10"/>
        <color indexed="8"/>
        <rFont val="Times New Roman"/>
        <family val="1"/>
      </rPr>
      <t xml:space="preserve">children under 16 years old </t>
    </r>
    <r>
      <rPr>
        <sz val="10"/>
        <color indexed="8"/>
        <rFont val="Times New Roman"/>
        <family val="1"/>
      </rPr>
      <t xml:space="preserve"> live in this household?
IF THEY ARE CONFUSED, EXPLAIN THAT THIS IS NOT JUST THEIR CHILDREN, BUT ANYONE UNDER 16: NIECES, GRANDCHILDREN, OTHERS
</t>
    </r>
  </si>
  <si>
    <r>
      <t>Are there any children who used to live in this household and who are now away in boarding school? Please only report children that we have not counted as members of the household because they have been away for too long.
IF THERE ARE SUCH CHILDREN, ASK: How many are there? 
IF NONE, put 0</t>
    </r>
    <r>
      <rPr>
        <sz val="10"/>
        <color indexed="8"/>
        <rFont val="Times New Roman"/>
        <family val="1"/>
      </rPr>
      <t xml:space="preserve">
AFTER RESPONDENT GIVES ANSWER (If not 0), SAY: Thank you. Now, when we talk about each child in turn, we do not want to include these children.
</t>
    </r>
  </si>
  <si>
    <t>If 0 → Ask D.22.b, then move to next section</t>
  </si>
  <si>
    <r>
      <t xml:space="preserve">Now I would like to ask you some basic background questions about you and your household. By household throughout the survey we mean a group of persons who: 
--live together in the same dwelling or compound,
--recognize one person as the head, 
--share the same housekeeping arrangement and eat from the same pot,
--contribute financially and/or receive finacial support from the household,
--and have lived in the household for at least 30 days consecutively or 60 days non consecutively in the last three months.
However, if the person you consider the household head does not live in the household because he works somewhere else (for example, in Kampala) and only comes home occasionally, please still count him.
You should not include children that are away in boarding school and don’t meet the residence requirements.
</t>
    </r>
    <r>
      <rPr>
        <b/>
        <sz val="10"/>
        <rFont val="Times New Roman"/>
        <family val="1"/>
      </rPr>
      <t>Note: If polygamous, use the household where the respondent stays most of the time.</t>
    </r>
  </si>
  <si>
    <t>5.a</t>
  </si>
  <si>
    <t>5.b</t>
  </si>
  <si>
    <t>Do you currently have any savings in a bank account (including microfinance)? Some examples of banks and microfinance institutions are Centennary, Post Bank, FINCA, and Pride.</t>
  </si>
  <si>
    <t>Is the household head working somewhere else and sending money to the household?
IF THE RESPONDENT IS CONFUSED: Explain that we want to know if the household head meets the residence requirements of living in the household for at least 30 days consecutively or 60 days non-consecutively in the last three months</t>
  </si>
  <si>
    <r>
      <t xml:space="preserve">How many </t>
    </r>
    <r>
      <rPr>
        <u/>
        <sz val="10"/>
        <color indexed="8"/>
        <rFont val="Times New Roman"/>
        <family val="1"/>
      </rPr>
      <t xml:space="preserve">adults aged 16 or older </t>
    </r>
    <r>
      <rPr>
        <sz val="10"/>
        <color indexed="8"/>
        <rFont val="Times New Roman"/>
        <family val="1"/>
      </rPr>
      <t>(including yourself) live in this household?</t>
    </r>
  </si>
  <si>
    <t>Your sons or daughters that are 16 years old or older.</t>
  </si>
  <si>
    <t>Sons-in-law or daughters-in-law that are 16 years or older</t>
  </si>
  <si>
    <t>Nieces or nephews that are 16 years old or older</t>
  </si>
  <si>
    <t>Grandchildren that are 16 years old or older</t>
  </si>
  <si>
    <r>
      <t xml:space="preserve">Number of Days
</t>
    </r>
    <r>
      <rPr>
        <b/>
        <sz val="10"/>
        <rFont val="Times New Roman"/>
        <family val="1"/>
      </rPr>
      <t>If 0 → H.4.</t>
    </r>
  </si>
  <si>
    <r>
      <t xml:space="preserve">1. Yes
2. No </t>
    </r>
    <r>
      <rPr>
        <b/>
        <sz val="10"/>
        <rFont val="Times New Roman"/>
        <family val="1"/>
      </rPr>
      <t>→ H.10</t>
    </r>
    <r>
      <rPr>
        <sz val="10"/>
        <rFont val="Times New Roman"/>
        <family val="1"/>
      </rPr>
      <t>.</t>
    </r>
  </si>
  <si>
    <r>
      <t xml:space="preserve">What is your regular monthly or weekly salary for </t>
    </r>
    <r>
      <rPr>
        <b/>
        <i/>
        <sz val="10"/>
        <rFont val="Times New Roman"/>
        <family val="1"/>
      </rPr>
      <t>[say activity]</t>
    </r>
    <r>
      <rPr>
        <sz val="10"/>
        <rFont val="Times New Roman"/>
        <family val="1"/>
      </rPr>
      <t>?</t>
    </r>
    <r>
      <rPr>
        <b/>
        <sz val="10"/>
        <rFont val="Times New Roman"/>
        <family val="1"/>
      </rPr>
      <t xml:space="preserve">
</t>
    </r>
    <r>
      <rPr>
        <sz val="10"/>
        <rFont val="Times New Roman"/>
        <family val="1"/>
      </rPr>
      <t xml:space="preserve">
</t>
    </r>
    <r>
      <rPr>
        <b/>
        <sz val="10"/>
        <rFont val="Times New Roman"/>
        <family val="1"/>
      </rPr>
      <t>We want to know about their stable income that doesn't change week-to-week. If the person works on daily basis or has changing income, DO NOT ASK; go to H.10.</t>
    </r>
  </si>
  <si>
    <r>
      <t xml:space="preserve">1. Below typical, b/c sick
2. Below typical, other reasons
3. Typical  </t>
    </r>
    <r>
      <rPr>
        <b/>
        <sz val="10"/>
        <rFont val="Times New Roman"/>
        <family val="1"/>
      </rPr>
      <t>→ H.7.</t>
    </r>
    <r>
      <rPr>
        <sz val="10"/>
        <rFont val="Times New Roman"/>
        <family val="1"/>
      </rPr>
      <t xml:space="preserve">
4. Above typical
-97. N/A, irregular activity</t>
    </r>
  </si>
  <si>
    <t>How many people in this village, including relatives, could you go to if you needed a loan of 50,000 USH? This does not have to be a formal loan and it does not have to collect interest.  Please do not count household members.</t>
  </si>
  <si>
    <t>How many people outside this village, including relatives, could you go to if you needed a loan of 50,000 USH?  Please do not count household members.</t>
  </si>
  <si>
    <r>
      <t xml:space="preserve">Do you currently participate in a savings group or ASCA/VSLA?
</t>
    </r>
    <r>
      <rPr>
        <b/>
        <i/>
        <sz val="10"/>
        <rFont val="Times New Roman"/>
        <family val="1"/>
      </rPr>
      <t xml:space="preserve">(A VSLA is an informal village savings group). </t>
    </r>
  </si>
  <si>
    <r>
      <t>Have you</t>
    </r>
    <r>
      <rPr>
        <b/>
        <sz val="10"/>
        <rFont val="Times New Roman"/>
        <family val="1"/>
      </rPr>
      <t xml:space="preserve"> given out </t>
    </r>
    <r>
      <rPr>
        <sz val="10"/>
        <rFont val="Times New Roman"/>
        <family val="1"/>
      </rPr>
      <t>any in-kind loans that have not yet been repaid, for example, a bag of millet that was borrowed from you by someone?</t>
    </r>
  </si>
  <si>
    <t xml:space="preserve">A village savings group or a SACCO?
</t>
  </si>
  <si>
    <r>
      <rPr>
        <b/>
        <sz val="10"/>
        <rFont val="Times New Roman"/>
        <family val="1"/>
      </rPr>
      <t>For questions 1-10, use codes:</t>
    </r>
    <r>
      <rPr>
        <sz val="10"/>
        <rFont val="Times New Roman"/>
        <family val="1"/>
      </rPr>
      <t xml:space="preserve">       1. Yes       2. No     - 98. Refused       - 99. Don't know
</t>
    </r>
  </si>
  <si>
    <t>ID/NAME</t>
  </si>
  <si>
    <t>→ Politely ask to be allowed to interview the respondent alone.  Stress that the interview is private and confidential. If there is no private spot available to conduct the interview, stop the interview and consult your team leader</t>
  </si>
  <si>
    <t xml:space="preserve">M.0. </t>
  </si>
  <si>
    <r>
      <rPr>
        <b/>
        <sz val="10"/>
        <rFont val="Times New Roman"/>
        <family val="1"/>
      </rPr>
      <t xml:space="preserve">DO NOT READ: </t>
    </r>
    <r>
      <rPr>
        <sz val="10"/>
        <rFont val="Times New Roman"/>
        <family val="1"/>
      </rPr>
      <t xml:space="preserve">Is the respondent capable of answering the Raven's test?
</t>
    </r>
  </si>
  <si>
    <r>
      <t>Was anyone present during the survey other than the respondent, the FO, and the TL?</t>
    </r>
    <r>
      <rPr>
        <i/>
        <sz val="10"/>
        <rFont val="Times New Roman"/>
        <family val="1"/>
      </rPr>
      <t xml:space="preserve"> (Do not count children under 5 years old)
</t>
    </r>
    <r>
      <rPr>
        <b/>
        <sz val="10"/>
        <rFont val="Times New Roman"/>
        <family val="1"/>
      </rPr>
      <t>CHECK ALL THAT APPLY</t>
    </r>
  </si>
  <si>
    <t>If asked 3.b→ 4</t>
  </si>
  <si>
    <t xml:space="preserve">How many sexual partners have you had in the last 12 months?
</t>
  </si>
  <si>
    <t>|__|__|</t>
  </si>
  <si>
    <t>-97. N/A</t>
  </si>
  <si>
    <t xml:space="preserve">-98. Refused </t>
  </si>
  <si>
    <t>|__|,|__|__|__|,|__|__|__| USH
-98. Refused         -99. Don't know</t>
  </si>
  <si>
    <t>-99. Doesn't know</t>
  </si>
  <si>
    <t>Time Interview Begins (using 12-hour clock):</t>
  </si>
  <si>
    <t>HH:MM:    |___|___|:|___|___|  am / pm</t>
  </si>
  <si>
    <t>HH: |__|__|  MM: |__|__|  AM / PM</t>
  </si>
  <si>
    <t>Time Finished (use 12 hour clock)</t>
  </si>
  <si>
    <t xml:space="preserve"> |___|___|___|___|___|___|___|</t>
  </si>
  <si>
    <t>Respondent nickname:</t>
  </si>
  <si>
    <t>Abikiriza/Faith of Unity</t>
  </si>
  <si>
    <t>D.22.</t>
  </si>
  <si>
    <r>
      <t xml:space="preserve">Now I want to ask you about the items owned by you </t>
    </r>
    <r>
      <rPr>
        <b/>
        <sz val="10"/>
        <rFont val="Times New Roman"/>
        <family val="1"/>
      </rPr>
      <t>and your household</t>
    </r>
    <r>
      <rPr>
        <sz val="10"/>
        <rFont val="Times New Roman"/>
        <family val="1"/>
      </rPr>
      <t xml:space="preserve">. We just want to know about the items owned by your household, so if you have access to these items through work (if you work for a church or an NGO), but do not own them, please do not count them.
I want to remind you that the purpose of this survey is not to provide assistance, so please respond fully and completely, as your answers will not affect any kind of benefits. 
I will read a list of household items and livestock. Please tell me if </t>
    </r>
    <r>
      <rPr>
        <b/>
        <sz val="10"/>
        <rFont val="Times New Roman"/>
        <family val="1"/>
      </rPr>
      <t xml:space="preserve">you  or your household </t>
    </r>
    <r>
      <rPr>
        <sz val="10"/>
        <rFont val="Times New Roman"/>
        <family val="1"/>
      </rPr>
      <t xml:space="preserve">own any and how many of each you and your household own that are in good working condition or easily repairable. Please count the young animals (calves, kids, chicks, etc). </t>
    </r>
  </si>
  <si>
    <r>
      <t xml:space="preserve">Now I would like to ask you some questions about numbers and purchases. This is not a test, so please do not worry about ‘passing’ it – all answers are accepted.
Insructions: </t>
    </r>
    <r>
      <rPr>
        <sz val="10"/>
        <rFont val="Times New Roman"/>
        <family val="1"/>
      </rPr>
      <t>Make sure that the respondents do all the calculations in their head. Pay attention and politely ask them to stop if they try to write the problem down or try to use their phones for calculations.</t>
    </r>
  </si>
  <si>
    <t>Did you use any hybrid seeds in the past 12 months, such as NAADS seeds, LONGE-H, or NERICA?</t>
  </si>
  <si>
    <t>Did you use any inorganic fertilizer on your crops in the past 12 months, such as NPK?</t>
  </si>
  <si>
    <r>
      <t xml:space="preserve">Did you grow any crops for commercial purposes in the past 12 months?
</t>
    </r>
    <r>
      <rPr>
        <b/>
        <sz val="10"/>
        <rFont val="Times New Roman"/>
        <family val="1"/>
      </rPr>
      <t>Explain that we want to know if they sold significant amounts of crops. We don't want to know if they just sell 20 tomatoes once a month.</t>
    </r>
  </si>
  <si>
    <t>Education code: | __ |  __ |
-97. N/A    - 98.Refused   - 99. Don't know</t>
  </si>
  <si>
    <r>
      <t>Spouse or boyfriend/girlfriend.</t>
    </r>
    <r>
      <rPr>
        <b/>
        <sz val="10"/>
        <rFont val="Times New Roman"/>
        <family val="1"/>
      </rPr>
      <t/>
    </r>
  </si>
  <si>
    <t>Co-wives residing in the same household</t>
  </si>
  <si>
    <t>D. 22.</t>
  </si>
  <si>
    <t>Automatic ID</t>
  </si>
  <si>
    <t>D.23.b. First and Other Names of child</t>
  </si>
  <si>
    <t>D. 23.a. Surname of child</t>
  </si>
  <si>
    <r>
      <t>D.25. What is [NAME]'s relationship to you?</t>
    </r>
    <r>
      <rPr>
        <u/>
        <sz val="9"/>
        <rFont val="Cambria"/>
        <family val="1"/>
      </rPr>
      <t xml:space="preserve">
</t>
    </r>
    <r>
      <rPr>
        <b/>
        <i/>
        <sz val="9"/>
        <rFont val="Cambria"/>
        <family val="1"/>
      </rPr>
      <t>See table for codes</t>
    </r>
  </si>
  <si>
    <r>
      <t>D.26. What is [NAME]'s gender?</t>
    </r>
    <r>
      <rPr>
        <u/>
        <sz val="9"/>
        <rFont val="Cambria"/>
        <family val="1"/>
      </rPr>
      <t xml:space="preserve">
</t>
    </r>
  </si>
  <si>
    <r>
      <t xml:space="preserve">D.27. What is [NAME]'s age (in completed years)?
</t>
    </r>
    <r>
      <rPr>
        <b/>
        <i/>
        <sz val="9"/>
        <rFont val="Cambria"/>
        <family val="1"/>
      </rPr>
      <t xml:space="preserve">
If less than 1 year, put 0. 
If between 12 and 24 months, put 1. 
If don't know, put -99.</t>
    </r>
  </si>
  <si>
    <t xml:space="preserve">D.28. What level of education has [NAME] completed? </t>
  </si>
  <si>
    <r>
      <t xml:space="preserve">D.29. Is [NAME] currently enrolled in school?
</t>
    </r>
    <r>
      <rPr>
        <b/>
        <i/>
        <sz val="9"/>
        <rFont val="Cambria"/>
        <family val="1"/>
      </rPr>
      <t>If on vacation and planning to return to school, put "Yes"</t>
    </r>
  </si>
  <si>
    <t xml:space="preserve">D.30. Is this school government or private?
</t>
  </si>
  <si>
    <t>D. 31.</t>
  </si>
  <si>
    <t>2. No</t>
  </si>
  <si>
    <t>If Yes → Return to household size and adjust accordingly</t>
  </si>
  <si>
    <t>Free (from government or NGO)</t>
  </si>
  <si>
    <r>
      <t>Were the number of days and hours worked in the past 7 days typical of how much you spend on</t>
    </r>
    <r>
      <rPr>
        <b/>
        <sz val="10"/>
        <rFont val="Times New Roman"/>
        <family val="1"/>
      </rPr>
      <t xml:space="preserve"> [say activity]</t>
    </r>
    <r>
      <rPr>
        <sz val="10"/>
        <rFont val="Times New Roman"/>
        <family val="1"/>
      </rPr>
      <t>?</t>
    </r>
  </si>
  <si>
    <r>
      <rPr>
        <b/>
        <sz val="10"/>
        <rFont val="Times New Roman"/>
        <family val="1"/>
      </rPr>
      <t>If last 7 days not typical</t>
    </r>
    <r>
      <rPr>
        <sz val="10"/>
        <rFont val="Times New Roman"/>
        <family val="1"/>
      </rPr>
      <t xml:space="preserve">, how many days a week do you do </t>
    </r>
    <r>
      <rPr>
        <b/>
        <sz val="10"/>
        <rFont val="Times New Roman"/>
        <family val="1"/>
      </rPr>
      <t>[say activity]</t>
    </r>
    <r>
      <rPr>
        <sz val="10"/>
        <rFont val="Times New Roman"/>
        <family val="1"/>
      </rPr>
      <t xml:space="preserve"> in a typical week?</t>
    </r>
  </si>
  <si>
    <r>
      <t xml:space="preserve">On average, how many </t>
    </r>
    <r>
      <rPr>
        <u/>
        <sz val="10"/>
        <rFont val="Times New Roman"/>
        <family val="1"/>
      </rPr>
      <t>total hours per day</t>
    </r>
    <r>
      <rPr>
        <sz val="10"/>
        <rFont val="Times New Roman"/>
        <family val="1"/>
      </rPr>
      <t xml:space="preserve"> do you spend on  </t>
    </r>
    <r>
      <rPr>
        <b/>
        <sz val="10"/>
        <rFont val="Times New Roman"/>
        <family val="1"/>
      </rPr>
      <t xml:space="preserve">[say activity] </t>
    </r>
    <r>
      <rPr>
        <sz val="10"/>
        <rFont val="Times New Roman"/>
        <family val="1"/>
      </rPr>
      <t>in a typical week?</t>
    </r>
  </si>
  <si>
    <t>16.a.</t>
  </si>
  <si>
    <t>16.b.</t>
  </si>
  <si>
    <t>16.c.</t>
  </si>
  <si>
    <r>
      <t xml:space="preserve">Read: </t>
    </r>
    <r>
      <rPr>
        <sz val="10"/>
        <rFont val="Times New Roman"/>
        <family val="1"/>
      </rPr>
      <t>Now I would like to ask you some questions about sexual activity in order to gain a better understanding of some important life issues. Let me assure you again that your answers are completely confidential and will not be told to anyone, including TASO staff. We understand that this is sensitive information, so if we should come to any questions that you don't want to answer, just let me know and we will go to the next question or the next section.</t>
    </r>
  </si>
  <si>
    <t xml:space="preserve">DO NOT READ: If anybody besides the respondent is present at the interview, please politely explain that the interview is private and confidential, and ask them to leave. </t>
  </si>
  <si>
    <t>How often did you use a condom when you had sexual intercourse in the last 12 months?</t>
  </si>
  <si>
    <t>K. SOCIAL CAPITAL (CONT'D)</t>
  </si>
  <si>
    <t>TASO SOCIAL  NETWORKS</t>
  </si>
  <si>
    <t xml:space="preserve">Now I want to ask you about your social connections within TASO. For each question, please give me the names of TASO clients that match the question. </t>
  </si>
  <si>
    <t xml:space="preserve">K. </t>
  </si>
  <si>
    <t>Which other TASO clients do you consider your friends?</t>
  </si>
  <si>
    <t>_______________________________</t>
  </si>
  <si>
    <t>Which TASO clients do you talk to about money and household financial matters?</t>
  </si>
  <si>
    <t>Are there any TASO clients that you would turn to for help in time of financial need? Who are they?</t>
  </si>
  <si>
    <t>Are there any TASO clients that you would help in time of their financial need, if they asked you for help? Who are they?</t>
  </si>
  <si>
    <t>id_check</t>
  </si>
  <si>
    <t>id</t>
  </si>
  <si>
    <t>taso_id</t>
  </si>
  <si>
    <t>Enumerator’s (FO's) name</t>
  </si>
  <si>
    <t>Enumerator's (FO's)  ID Code</t>
  </si>
  <si>
    <t>consent</t>
  </si>
  <si>
    <t>Village:</t>
  </si>
  <si>
    <t>Phone number of this neighbor/friend, if available</t>
  </si>
  <si>
    <r>
      <rPr>
        <b/>
        <sz val="10"/>
        <color indexed="8"/>
        <rFont val="Times New Roman"/>
        <family val="1"/>
      </rPr>
      <t xml:space="preserve">OBSERVE: </t>
    </r>
    <r>
      <rPr>
        <sz val="10"/>
        <color indexed="8"/>
        <rFont val="Times New Roman"/>
        <family val="1"/>
      </rPr>
      <t>Gender of respondent</t>
    </r>
  </si>
  <si>
    <r>
      <t xml:space="preserve">How old are you? 
</t>
    </r>
    <r>
      <rPr>
        <b/>
        <i/>
        <sz val="10"/>
        <color indexed="8"/>
        <rFont val="Times New Roman"/>
        <family val="1"/>
      </rPr>
      <t>If respondent does not know, approximate using events table.
IF CANNOT APPROXIMATE AGE, LEAVE BLANK AND MARK 4 OR 5 ON THE NEXT QUESTION</t>
    </r>
  </si>
  <si>
    <t>Was not able to estimate, but respondent most likely within eligible age range</t>
  </si>
  <si>
    <t>Was not able to estimate, but respondent most likely OUTSIDE eligible age range</t>
  </si>
  <si>
    <t>Do you know your date of birth?</t>
  </si>
  <si>
    <t>IF NOT: Do you know your year of birth?</t>
  </si>
  <si>
    <t>IF NOT: In that case, let us try to estimate when you were born based on events that happened in Uganda at that time.</t>
  </si>
  <si>
    <t>Respondent knows exact date</t>
  </si>
  <si>
    <t>Respondent knows exact year, but not date</t>
  </si>
  <si>
    <t>Respondent can approximate year, but is not sure about it</t>
  </si>
  <si>
    <t>Year had to be estimated based on known events</t>
  </si>
  <si>
    <t xml:space="preserve">→ 3.b. </t>
  </si>
  <si>
    <t>What date were you born?</t>
  </si>
  <si>
    <t xml:space="preserve">What year were you born?
</t>
  </si>
  <si>
    <r>
      <t xml:space="preserve">YYYY: </t>
    </r>
    <r>
      <rPr>
        <sz val="11"/>
        <color indexed="8"/>
        <rFont val="Arial Narrow"/>
        <family val="2"/>
      </rPr>
      <t>|__|__|__|__|</t>
    </r>
  </si>
  <si>
    <t xml:space="preserve">→ 3.c. </t>
  </si>
  <si>
    <t>3.c.</t>
  </si>
  <si>
    <t>Education code: | __ |  __ |
-97. N/A       -98.Refused       -99. Don't know</t>
  </si>
  <si>
    <r>
      <t>What is the highest level of education your spouse has completed?</t>
    </r>
    <r>
      <rPr>
        <b/>
        <i/>
        <sz val="10"/>
        <rFont val="Times New Roman"/>
        <family val="1"/>
      </rPr>
      <t/>
    </r>
  </si>
  <si>
    <t>If polygamous male: What is the highest level of education your 2nd/3rd/4th/5th wife has completed?</t>
  </si>
  <si>
    <r>
      <rPr>
        <b/>
        <sz val="10"/>
        <rFont val="Times New Roman"/>
        <family val="1"/>
      </rPr>
      <t xml:space="preserve">Do not read: </t>
    </r>
    <r>
      <rPr>
        <sz val="10"/>
        <rFont val="Times New Roman"/>
        <family val="1"/>
      </rPr>
      <t>Does this person seem emotionally, mentally, and physically capable of completing this survey?</t>
    </r>
  </si>
  <si>
    <r>
      <rPr>
        <b/>
        <sz val="10"/>
        <rFont val="Times New Roman"/>
        <family val="1"/>
      </rPr>
      <t xml:space="preserve">Do not read: </t>
    </r>
    <r>
      <rPr>
        <sz val="10"/>
        <rFont val="Times New Roman"/>
        <family val="1"/>
      </rPr>
      <t xml:space="preserve"> Is the interview being conducted with the interviewee alone (excepting survey staff)? 
</t>
    </r>
    <r>
      <rPr>
        <b/>
        <i/>
        <sz val="10"/>
        <rFont val="Times New Roman"/>
        <family val="1"/>
      </rPr>
      <t>Children who are too young to understand the conversation can remain. All other children and adults must be asked to leave.</t>
    </r>
  </si>
  <si>
    <r>
      <rPr>
        <b/>
        <sz val="10"/>
        <rFont val="Times New Roman"/>
        <family val="1"/>
      </rPr>
      <t xml:space="preserve">Do not read: </t>
    </r>
    <r>
      <rPr>
        <sz val="10"/>
        <rFont val="Times New Roman"/>
        <family val="1"/>
      </rPr>
      <t>How well do you know the respondent and the respondent's family?</t>
    </r>
  </si>
  <si>
    <r>
      <rPr>
        <b/>
        <sz val="10"/>
        <rFont val="Times New Roman"/>
        <family val="1"/>
      </rPr>
      <t xml:space="preserve">Do not read: </t>
    </r>
    <r>
      <rPr>
        <sz val="10"/>
        <rFont val="Times New Roman"/>
        <family val="1"/>
      </rPr>
      <t xml:space="preserve">Are you personally from or do you currently live in a geographic location that is close to where this respondent lives? </t>
    </r>
  </si>
  <si>
    <r>
      <rPr>
        <b/>
        <sz val="10"/>
        <rFont val="Times New Roman"/>
        <family val="1"/>
      </rPr>
      <t xml:space="preserve">Do not read: </t>
    </r>
    <r>
      <rPr>
        <sz val="10"/>
        <rFont val="Times New Roman"/>
        <family val="1"/>
      </rPr>
      <t>Consent given?</t>
    </r>
  </si>
  <si>
    <t>Team Leader’s name</t>
  </si>
  <si>
    <t>Interiew site</t>
  </si>
  <si>
    <t>Soroti</t>
  </si>
  <si>
    <t>Masindi</t>
  </si>
  <si>
    <t>Respondent ID Code Check</t>
  </si>
  <si>
    <t xml:space="preserve"> |___|___|___|___|___|</t>
  </si>
  <si>
    <t>Respondent TASO ID</t>
  </si>
  <si>
    <t>Other: Pilot/test</t>
  </si>
  <si>
    <t>1:Ateso
2:Kumam
3:Runyoro
4:Luo
5:Acholi
6:Langi
7:Alur
8:English
9:Swahili
10:Luganda
11:Runyankole</t>
  </si>
  <si>
    <t>County:</t>
  </si>
  <si>
    <t xml:space="preserve">1:Respondent
2:Spouse
3:Another person within the household
4:Another person outside household
</t>
  </si>
  <si>
    <t>Specify name of owner</t>
  </si>
  <si>
    <t>Specify relationship of owner to respondent</t>
  </si>
  <si>
    <r>
      <t xml:space="preserve">If yes, how many do you own?
</t>
    </r>
    <r>
      <rPr>
        <b/>
        <i/>
        <sz val="10"/>
        <rFont val="Times New Roman"/>
        <family val="1"/>
      </rPr>
      <t>If don't know, put -99</t>
    </r>
  </si>
  <si>
    <t>Do you own any _______?</t>
  </si>
  <si>
    <t>________________</t>
  </si>
  <si>
    <t>Name of a person who knows of respondent’s whereabouts</t>
  </si>
  <si>
    <t>How is this person related to you?</t>
  </si>
  <si>
    <t xml:space="preserve">1:Spouse
2:Another person within the household
3:Close family outside household
4:Relative outside household
5:CASA
6:Another TASO client
7:Someone (who is not a relative) in the village
8:Someone (who is not a relative) outside the village
</t>
  </si>
  <si>
    <t>Does this person know that you belong to TASO?</t>
  </si>
  <si>
    <t>1:Yes
2:No
-98:Refused
-99:Don't know</t>
  </si>
  <si>
    <t>________</t>
  </si>
  <si>
    <t>May I proceed with the questions?</t>
  </si>
  <si>
    <t>1: Yes 
2: No</t>
  </si>
  <si>
    <t>0.a.</t>
  </si>
  <si>
    <t>0.b.</t>
  </si>
  <si>
    <r>
      <rPr>
        <b/>
        <sz val="10"/>
        <color indexed="8"/>
        <rFont val="Times New Roman"/>
        <family val="1"/>
      </rPr>
      <t xml:space="preserve">DO NOT READ: </t>
    </r>
    <r>
      <rPr>
        <sz val="10"/>
        <color indexed="8"/>
        <rFont val="Times New Roman"/>
        <family val="1"/>
      </rPr>
      <t xml:space="preserve">Is the interview being conducted with the interviewee alone (excepting survey staff)? 
</t>
    </r>
    <r>
      <rPr>
        <b/>
        <i/>
        <sz val="11"/>
        <color rgb="FF000000"/>
        <rFont val="Calibri"/>
        <family val="2"/>
        <scheme val="minor"/>
      </rPr>
      <t/>
    </r>
  </si>
  <si>
    <r>
      <t xml:space="preserve">Imagine you are buying animals this month to sell them in two months to make money. You have two alternatives from which you have to choose one. You can either get four goats which you can buy for 25,000 </t>
    </r>
    <r>
      <rPr>
        <u/>
        <sz val="10"/>
        <rFont val="Times New Roman"/>
        <family val="1"/>
      </rPr>
      <t>each</t>
    </r>
    <r>
      <rPr>
        <sz val="10"/>
        <rFont val="Times New Roman"/>
        <family val="1"/>
      </rPr>
      <t xml:space="preserve"> and sell at 35,000 each, </t>
    </r>
    <r>
      <rPr>
        <b/>
        <sz val="10"/>
        <rFont val="Times New Roman"/>
        <family val="1"/>
      </rPr>
      <t>or</t>
    </r>
    <r>
      <rPr>
        <sz val="10"/>
        <rFont val="Times New Roman"/>
        <family val="1"/>
      </rPr>
      <t xml:space="preserve"> one cow which you can buy for 100,000 and sell for 120,000. Which of these will make you more money: buying the four goats or the one cow? 
</t>
    </r>
    <r>
      <rPr>
        <b/>
        <i/>
        <sz val="10"/>
        <rFont val="Times New Roman"/>
        <family val="1"/>
      </rPr>
      <t>Correct answer: goats</t>
    </r>
  </si>
  <si>
    <r>
      <t xml:space="preserve">Suppose you bought tomatoes in the village for 4,500 USH, and then re-sold them for 6,700 USH in the market. How much money did you make from this?
</t>
    </r>
    <r>
      <rPr>
        <b/>
        <i/>
        <sz val="10"/>
        <rFont val="Times New Roman"/>
        <family val="1"/>
      </rPr>
      <t>Correct answer: 2,200</t>
    </r>
  </si>
  <si>
    <r>
      <t xml:space="preserve">If you bought three identical belts for a total of 7,500 USH, how much did each belt cost?
</t>
    </r>
    <r>
      <rPr>
        <b/>
        <i/>
        <sz val="10"/>
        <rFont val="Times New Roman"/>
        <family val="1"/>
      </rPr>
      <t>Correct answer: 2,500</t>
    </r>
  </si>
  <si>
    <r>
      <t xml:space="preserve">Imagine you went to the market with a 20,000 USH note. At the market, you bought two shirts that cost 8,000 USH each from the vendor. You gave the vendor the 20,000 USH note to pay for these items. How much balance should you get back?
</t>
    </r>
    <r>
      <rPr>
        <b/>
        <i/>
        <sz val="10"/>
        <rFont val="Times New Roman"/>
        <family val="1"/>
      </rPr>
      <t>Correct answer: 4,000</t>
    </r>
    <r>
      <rPr>
        <sz val="10"/>
        <rFont val="Times New Roman"/>
        <family val="1"/>
      </rPr>
      <t xml:space="preserve">
</t>
    </r>
  </si>
  <si>
    <r>
      <t xml:space="preserve">Z. Have you done any other activities for money or trade that we have not mentioned in the past 4 weeks? </t>
    </r>
    <r>
      <rPr>
        <b/>
        <i/>
        <sz val="9"/>
        <rFont val="Times New Roman"/>
        <family val="1"/>
      </rPr>
      <t>If any, record activity here: _________________________</t>
    </r>
  </si>
  <si>
    <r>
      <t xml:space="preserve">L. Working as a </t>
    </r>
    <r>
      <rPr>
        <b/>
        <sz val="9"/>
        <rFont val="Times New Roman"/>
        <family val="1"/>
      </rPr>
      <t xml:space="preserve">volunteer </t>
    </r>
    <r>
      <rPr>
        <sz val="9"/>
        <rFont val="Times New Roman"/>
        <family val="1"/>
      </rPr>
      <t>for a private firm, NGO, or religious organization -- for example, as a CASA for TASO</t>
    </r>
  </si>
  <si>
    <t>If yes, how much do you have saved with this group?</t>
  </si>
  <si>
    <t>If yes, how much do you have saved?</t>
  </si>
  <si>
    <t>If 1 year or more</t>
  </si>
  <si>
    <t>F. NUMERACY &amp; FINANCIAL LITERACY</t>
  </si>
  <si>
    <t>G. INCOME</t>
  </si>
  <si>
    <t>H. TIME USE</t>
  </si>
  <si>
    <t>H.1</t>
  </si>
  <si>
    <t>H.2.</t>
  </si>
  <si>
    <t>H.3.</t>
  </si>
  <si>
    <t>H.4.</t>
  </si>
  <si>
    <t>H.5.</t>
  </si>
  <si>
    <t>H.6.</t>
  </si>
  <si>
    <t>H.7.</t>
  </si>
  <si>
    <t>H.8.</t>
  </si>
  <si>
    <t>H.9.</t>
  </si>
  <si>
    <t>H.10.</t>
  </si>
  <si>
    <t>H.11.</t>
  </si>
  <si>
    <t>H.12.</t>
  </si>
  <si>
    <t>I. SAVINGS &amp; LOANS</t>
  </si>
  <si>
    <t>I.</t>
  </si>
  <si>
    <t>J. FOOD SECURITY</t>
  </si>
  <si>
    <t>J.</t>
  </si>
  <si>
    <r>
      <t xml:space="preserve">Do not ask: </t>
    </r>
    <r>
      <rPr>
        <sz val="10"/>
        <rFont val="Times New Roman"/>
        <family val="1"/>
      </rPr>
      <t xml:space="preserve">Language of the sentence that was successfully read.
</t>
    </r>
    <r>
      <rPr>
        <b/>
        <i/>
        <sz val="10"/>
        <rFont val="Times New Roman"/>
        <family val="1"/>
      </rPr>
      <t>CHOOSE ONLY ONE</t>
    </r>
  </si>
  <si>
    <r>
      <rPr>
        <b/>
        <sz val="10"/>
        <color indexed="8"/>
        <rFont val="Times New Roman"/>
        <family val="1"/>
      </rPr>
      <t xml:space="preserve">Do not read: </t>
    </r>
    <r>
      <rPr>
        <sz val="10"/>
        <color indexed="8"/>
        <rFont val="Times New Roman"/>
        <family val="1"/>
      </rPr>
      <t>Is the age an approximation?</t>
    </r>
  </si>
  <si>
    <r>
      <rPr>
        <b/>
        <sz val="10"/>
        <rFont val="Times New Roman"/>
        <family val="1"/>
      </rPr>
      <t>Do not read:</t>
    </r>
    <r>
      <rPr>
        <sz val="10"/>
        <rFont val="Times New Roman"/>
        <family val="1"/>
      </rPr>
      <t xml:space="preserve"> Are you suspicious that the person you are interviewing is not the one we sought for an interview?</t>
    </r>
  </si>
  <si>
    <r>
      <t xml:space="preserve">Does anyone owe you any money that they have to pay back? If yes, how much have they not yet repaid?
</t>
    </r>
    <r>
      <rPr>
        <b/>
        <sz val="10"/>
        <rFont val="Times New Roman"/>
        <family val="1"/>
      </rPr>
      <t>If they are confused, prompt:</t>
    </r>
    <r>
      <rPr>
        <sz val="10"/>
        <rFont val="Times New Roman"/>
        <family val="1"/>
      </rPr>
      <t xml:space="preserve"> for example, do any of your relatives or friends, or anyone in the village owe you money?</t>
    </r>
  </si>
  <si>
    <r>
      <t xml:space="preserve">Read: </t>
    </r>
    <r>
      <rPr>
        <sz val="10"/>
        <rFont val="Times New Roman"/>
        <family val="1"/>
      </rPr>
      <t>Now I’d like to ask you some questions about your food intake. It is very important for us to figure out if households experience any food shortages.
Please remember that your answers will not affect any assistance you or this community may receive.</t>
    </r>
  </si>
  <si>
    <r>
      <t xml:space="preserve">Read: </t>
    </r>
    <r>
      <rPr>
        <sz val="10"/>
        <rFont val="Times New Roman"/>
        <family val="1"/>
      </rPr>
      <t xml:space="preserve">Now I’d like to ask you some questions about your savings. Please remember, the amounts you report do not have to be big -- even if it is 1,000 please tell me. </t>
    </r>
  </si>
  <si>
    <t>Not tired or only slightly more tired than at the beginning</t>
  </si>
  <si>
    <r>
      <t xml:space="preserve">What is the surface area of the household's total land that is:
</t>
    </r>
    <r>
      <rPr>
        <b/>
        <sz val="10"/>
        <rFont val="Times New Roman"/>
        <family val="1"/>
      </rPr>
      <t>If none, put 0 for quantity and leave unit blank</t>
    </r>
  </si>
  <si>
    <t>Are you related to any LC chairperson or Vice-LC chairperson of this area? If so, how is this chairperson related to you?</t>
  </si>
  <si>
    <t>Banyarwanda</t>
  </si>
  <si>
    <t>Japadhola</t>
  </si>
  <si>
    <t>Baruli</t>
  </si>
  <si>
    <t>Batoro</t>
  </si>
  <si>
    <t>Langi</t>
  </si>
  <si>
    <r>
      <rPr>
        <b/>
        <sz val="10"/>
        <rFont val="Times New Roman"/>
        <family val="1"/>
      </rPr>
      <t>For questions 8 through 20, ask:</t>
    </r>
    <r>
      <rPr>
        <sz val="10"/>
        <rFont val="Times New Roman"/>
        <family val="1"/>
      </rPr>
      <t xml:space="preserve">
Now I want to learn some more detail about who these adults are. I will read a list of possible family members. Please tell me if any live in your household.  
</t>
    </r>
    <r>
      <rPr>
        <b/>
        <sz val="10"/>
        <rFont val="Times New Roman"/>
        <family val="1"/>
      </rPr>
      <t xml:space="preserve">If yes, ask: </t>
    </r>
    <r>
      <rPr>
        <sz val="10"/>
        <rFont val="Times New Roman"/>
        <family val="1"/>
      </rPr>
      <t>How many of them live here?</t>
    </r>
    <r>
      <rPr>
        <b/>
        <sz val="10"/>
        <rFont val="Times New Roman"/>
        <family val="1"/>
      </rPr>
      <t xml:space="preserve"> If none, put 0.</t>
    </r>
  </si>
  <si>
    <r>
      <t xml:space="preserve">How many rooms in this household are there for sleeping? Please include all the different rooms and structures in your compound where all your household members, including children, sleep. 
</t>
    </r>
    <r>
      <rPr>
        <b/>
        <sz val="10"/>
        <rFont val="Times New Roman"/>
        <family val="1"/>
      </rPr>
      <t>If huts, count each hut as 1 room. If multi-purpose room, but people sleep there, count it.</t>
    </r>
    <r>
      <rPr>
        <sz val="10"/>
        <rFont val="Times New Roman"/>
        <family val="1"/>
      </rPr>
      <t xml:space="preserve">
</t>
    </r>
  </si>
  <si>
    <r>
      <t xml:space="preserve">This is a question about </t>
    </r>
    <r>
      <rPr>
        <i/>
        <sz val="10"/>
        <rFont val="Times New Roman"/>
        <family val="1"/>
      </rPr>
      <t xml:space="preserve">percentages </t>
    </r>
    <r>
      <rPr>
        <b/>
        <sz val="10"/>
        <rFont val="Times New Roman"/>
        <family val="1"/>
      </rPr>
      <t>[use English word]</t>
    </r>
    <r>
      <rPr>
        <sz val="10"/>
        <rFont val="Times New Roman"/>
        <family val="1"/>
      </rPr>
      <t xml:space="preserve">. If you don't know percentages, please tell me now. 
</t>
    </r>
    <r>
      <rPr>
        <b/>
        <sz val="10"/>
        <rFont val="Times New Roman"/>
        <family val="1"/>
      </rPr>
      <t>If respondent reports not knowing percentages, select option "4" and go to next section. If respondent knows percentages, ask:</t>
    </r>
    <r>
      <rPr>
        <sz val="10"/>
        <rFont val="Times New Roman"/>
        <family val="1"/>
      </rPr>
      <t xml:space="preserve">
What is 10% of 50?
</t>
    </r>
    <r>
      <rPr>
        <b/>
        <sz val="10"/>
        <rFont val="Times New Roman"/>
        <family val="1"/>
      </rPr>
      <t>Do not prompt. Do not explain what percentages are or give examples.</t>
    </r>
    <r>
      <rPr>
        <b/>
        <i/>
        <sz val="10"/>
        <rFont val="Times New Roman"/>
        <family val="1"/>
      </rPr>
      <t xml:space="preserve">
Correct answer: 5</t>
    </r>
  </si>
  <si>
    <r>
      <t>Read:</t>
    </r>
    <r>
      <rPr>
        <i/>
        <sz val="10"/>
        <rFont val="Times New Roman"/>
        <family val="1"/>
      </rPr>
      <t>"</t>
    </r>
    <r>
      <rPr>
        <sz val="10"/>
        <rFont val="Times New Roman"/>
        <family val="1"/>
      </rPr>
      <t>Now I would like you to read this sentence to me</t>
    </r>
    <r>
      <rPr>
        <i/>
        <sz val="10"/>
        <rFont val="Times New Roman"/>
        <family val="1"/>
      </rPr>
      <t xml:space="preserve">". </t>
    </r>
    <r>
      <rPr>
        <b/>
        <i/>
        <sz val="10"/>
        <rFont val="Times New Roman"/>
        <family val="1"/>
      </rPr>
      <t xml:space="preserve">
Show card to respondent. First show the card of the language of the interview. If unsuccessful, ask:
</t>
    </r>
    <r>
      <rPr>
        <sz val="10"/>
        <rFont val="Times New Roman"/>
        <family val="1"/>
      </rPr>
      <t>"Is there another language which you would like to try?"</t>
    </r>
    <r>
      <rPr>
        <b/>
        <i/>
        <sz val="10"/>
        <rFont val="Times New Roman"/>
        <family val="1"/>
      </rPr>
      <t xml:space="preserve">
If respondent cannot read whole sentence, probe:
</t>
    </r>
    <r>
      <rPr>
        <sz val="10"/>
        <rFont val="Times New Roman"/>
        <family val="1"/>
      </rPr>
      <t>"Can you read any part of the sentence to me?"</t>
    </r>
  </si>
  <si>
    <t>Brother / sister</t>
  </si>
  <si>
    <t>Brother/sister-in-law</t>
  </si>
  <si>
    <t>Brothers/sisters-in-law</t>
  </si>
  <si>
    <t>Brothers/sisters</t>
  </si>
  <si>
    <t>ASSETS</t>
  </si>
  <si>
    <t>Chickens, ducks, or turkeys</t>
  </si>
  <si>
    <t>School fees</t>
  </si>
  <si>
    <t>Anywhere else we have not mentioned (for example, workplace) 
OTHER: [_________________]</t>
  </si>
  <si>
    <r>
      <t xml:space="preserve">Read: </t>
    </r>
    <r>
      <rPr>
        <sz val="10"/>
        <rFont val="Times New Roman"/>
        <family val="1"/>
      </rPr>
      <t xml:space="preserve">Now we would like to play a game with you with some picture questions.
On the top there is a pattern with a piece missing. Now, below there are six pieces that could be the missing piece, but only one of them is the correct piece that will complete the pattern. What you have to do in this game is pick which one of the pieces on the bottom is the right one to fix the picture on the top.
It is not at all important how fast you do this, so please use as much time as you need and try to give us the answer you think is correct.  You can have as much time as you want. 
</t>
    </r>
    <r>
      <rPr>
        <b/>
        <sz val="10"/>
        <rFont val="Times New Roman"/>
        <family val="1"/>
      </rPr>
      <t xml:space="preserve">
Have respondent do set M. Mark the respondent’s answer by CIRCLING the corresponding letter for each exercise. Do not help the respondent once the real test begins and especially do not assist them by pointing out the pattern.</t>
    </r>
  </si>
  <si>
    <t>Number of partners:   |__|__|</t>
  </si>
  <si>
    <t>If these persons had to repay these loans in cash right now, how much would they have to pay you?</t>
  </si>
  <si>
    <t>Next Sect.</t>
  </si>
  <si>
    <t>Bagungu</t>
  </si>
  <si>
    <t>Had to estimate based on known events</t>
  </si>
  <si>
    <t>Respondent gave exact age</t>
  </si>
  <si>
    <t>Rspondent gave age but is not sure about it</t>
  </si>
  <si>
    <t>Free (from a private citizen -- e.g.., gift from a son)</t>
  </si>
  <si>
    <t>Does your household regularly receive money or goods from someone who is not a part of the household  to support it?</t>
  </si>
  <si>
    <r>
      <t>Did you receive any other items or goods in exchange for this work other than cash In the last 7 days?
If yes, and you would sell these goods right now, how much money would you get?</t>
    </r>
    <r>
      <rPr>
        <b/>
        <i/>
        <sz val="10"/>
        <rFont val="Times New Roman"/>
        <family val="1"/>
      </rPr>
      <t xml:space="preserve">
</t>
    </r>
  </si>
  <si>
    <t>Domestic work, apart from fetching water</t>
  </si>
  <si>
    <r>
      <t xml:space="preserve">N.  Occasionally selling  food, vegetables, or small items </t>
    </r>
    <r>
      <rPr>
        <b/>
        <sz val="9"/>
        <rFont val="Times New Roman"/>
        <family val="1"/>
      </rPr>
      <t>(not regular occurrence and not considering it a business)</t>
    </r>
  </si>
  <si>
    <r>
      <t>In the past 4 weeks, did you or any household member go to sleep at night hungry because there was not enough food? [</t>
    </r>
    <r>
      <rPr>
        <b/>
        <sz val="10"/>
        <rFont val="Times New Roman"/>
        <family val="1"/>
      </rPr>
      <t>This can be because they did not eat at all or because they did not eat enough.]</t>
    </r>
  </si>
  <si>
    <t>Do you belong to any other group that we have not mentioned?
(SPECIFY): [__________________]</t>
  </si>
  <si>
    <t>Grandparents or great-grandparents</t>
  </si>
  <si>
    <t>Cousins</t>
  </si>
  <si>
    <t>Other relatives or anyone else that we have not counted yet</t>
  </si>
  <si>
    <r>
      <t xml:space="preserve">How many </t>
    </r>
    <r>
      <rPr>
        <u/>
        <sz val="10"/>
        <rFont val="Times New Roman"/>
        <family val="1"/>
      </rPr>
      <t>total hours per day</t>
    </r>
    <r>
      <rPr>
        <sz val="10"/>
        <rFont val="Times New Roman"/>
        <family val="1"/>
      </rPr>
      <t xml:space="preserve"> did you usually spend on  </t>
    </r>
    <r>
      <rPr>
        <b/>
        <sz val="10"/>
        <rFont val="Times New Roman"/>
        <family val="1"/>
      </rPr>
      <t>[say activity]</t>
    </r>
    <r>
      <rPr>
        <sz val="10"/>
        <rFont val="Times New Roman"/>
        <family val="1"/>
      </rPr>
      <t xml:space="preserve"> on the days you did the activity?
</t>
    </r>
    <r>
      <rPr>
        <b/>
        <i/>
        <sz val="10"/>
        <rFont val="Times New Roman"/>
        <family val="1"/>
      </rPr>
      <t xml:space="preserve">If respondent struggles with activities performed multiple times a day, help them add up </t>
    </r>
  </si>
  <si>
    <t xml:space="preserve">Does anyone in your household apart from you own a business?
</t>
  </si>
  <si>
    <t>Yes, main source of income for household</t>
  </si>
  <si>
    <t>Yes, secondary source of income for household</t>
  </si>
  <si>
    <t>Yes, but not one the primary or secondary source of income for household</t>
  </si>
  <si>
    <t>Do you ever receive any income from this activity, in money or goods?</t>
  </si>
  <si>
    <r>
      <t xml:space="preserve">How much money do you have saved in other locations, apart from banks, SACCO, VSLAs and other places we've already mentioned? Just to clarify, these savings do not have to be in a formal account or formal institution. They can be somewhere at home, hidden in a safe place, or with a friend or a relative. This can be a small or large amount of money. 
Please remember that this interview is confidential and will be used only for research purposes. Your answer will not affect any kind of benefits.
</t>
    </r>
    <r>
      <rPr>
        <b/>
        <i/>
        <sz val="10"/>
        <rFont val="Times New Roman"/>
        <family val="1"/>
      </rPr>
      <t>(Please probe. If none, put 0)</t>
    </r>
  </si>
  <si>
    <r>
      <t xml:space="preserve">Do you receive a regular salary  for </t>
    </r>
    <r>
      <rPr>
        <b/>
        <i/>
        <sz val="10"/>
        <rFont val="Times New Roman"/>
        <family val="1"/>
      </rPr>
      <t>[say activity]</t>
    </r>
    <r>
      <rPr>
        <sz val="10"/>
        <rFont val="Times New Roman"/>
        <family val="1"/>
      </rPr>
      <t xml:space="preserve">, meaning it doesn't change week to week?
</t>
    </r>
    <r>
      <rPr>
        <b/>
        <i/>
        <sz val="10"/>
        <rFont val="Times New Roman"/>
        <family val="1"/>
      </rPr>
      <t>Do not include own business</t>
    </r>
  </si>
  <si>
    <t>Do you or any members of your household have access to any plots of land that can be used for farming (owned, rented, borrowed), even if you are not currently using them?</t>
  </si>
  <si>
    <r>
      <t xml:space="preserve">Approximately how long does it take for you to get to this source, get water, and come back? </t>
    </r>
    <r>
      <rPr>
        <b/>
        <sz val="10"/>
        <rFont val="Times New Roman"/>
        <family val="1"/>
      </rPr>
      <t xml:space="preserve">Put 0 if in compound. </t>
    </r>
  </si>
  <si>
    <t>Put 0 if none</t>
  </si>
  <si>
    <t>A sports team or sports fan group?</t>
  </si>
  <si>
    <t>17.a.</t>
  </si>
  <si>
    <t>17.b.</t>
  </si>
  <si>
    <t>17.c.</t>
  </si>
  <si>
    <t>18.a.</t>
  </si>
  <si>
    <t>18.b.</t>
  </si>
  <si>
    <t>18.c.</t>
  </si>
  <si>
    <t>19.a.</t>
  </si>
  <si>
    <t>19.b.</t>
  </si>
  <si>
    <t>Married, monogamous</t>
  </si>
  <si>
    <t>LC1 Chairman's Name:</t>
  </si>
  <si>
    <r>
      <t xml:space="preserve">Respondent </t>
    </r>
    <r>
      <rPr>
        <b/>
        <sz val="10"/>
        <rFont val="Times New Roman"/>
        <family val="1"/>
      </rPr>
      <t>Surname</t>
    </r>
    <r>
      <rPr>
        <sz val="10"/>
        <rFont val="Times New Roman"/>
        <family val="1"/>
      </rPr>
      <t>:</t>
    </r>
  </si>
  <si>
    <t>Married, polygamous (incl. co-wife with polygamous husband)</t>
  </si>
  <si>
    <t>If 1 → Next Sect.</t>
  </si>
  <si>
    <r>
      <t xml:space="preserve">From where do you think it is most likely you would get such a loan?
</t>
    </r>
    <r>
      <rPr>
        <b/>
        <sz val="10"/>
        <rFont val="Times New Roman"/>
        <family val="1"/>
      </rPr>
      <t xml:space="preserve">Only choose one. </t>
    </r>
  </si>
  <si>
    <t>No longer deposits</t>
  </si>
  <si>
    <t>Several times a week</t>
  </si>
  <si>
    <t xml:space="preserve">Please politely thank the respondent for the interview and provide them with information on how to reach us in case of questions. AFTER thanking and releasing the respondent, proceed to fill this out. </t>
  </si>
  <si>
    <t>N.</t>
  </si>
  <si>
    <t>What TASO CDDP do you go to?</t>
  </si>
  <si>
    <t>Protestantism/Anglicanism/Church of Uganda</t>
  </si>
  <si>
    <t>12.a.</t>
  </si>
  <si>
    <t>12.b.</t>
  </si>
  <si>
    <t>Does every member of your household have at least one pair of shoes (including boots, sandals, and slippers)?</t>
  </si>
  <si>
    <t xml:space="preserve">Does every member of your household have at least 2 sets of clothes? By a set of clothes we mean a skirt or pants and a t-shirt, or a dress -- the pants and shirt do not have to match. </t>
  </si>
  <si>
    <t>Cattle, including oxen, cows, and calves</t>
  </si>
  <si>
    <r>
      <t xml:space="preserve">1. Yes
2. No </t>
    </r>
    <r>
      <rPr>
        <b/>
        <sz val="10"/>
        <rFont val="Times New Roman"/>
        <family val="1"/>
      </rPr>
      <t>→ Next Activity</t>
    </r>
  </si>
  <si>
    <t xml:space="preserve">Use codes from "relationship table" to respond </t>
  </si>
  <si>
    <t>How much money do you currently owe to:</t>
  </si>
  <si>
    <r>
      <t>Do you ever</t>
    </r>
    <r>
      <rPr>
        <u/>
        <sz val="10"/>
        <rFont val="Times New Roman"/>
        <family val="1"/>
      </rPr>
      <t xml:space="preserve"> go</t>
    </r>
    <r>
      <rPr>
        <sz val="10"/>
        <rFont val="Times New Roman"/>
        <family val="1"/>
      </rPr>
      <t xml:space="preserve"> to pray in  in a church/mosque/other place of religious services? If yes, how regularly do you go?
</t>
    </r>
    <r>
      <rPr>
        <b/>
        <i/>
        <sz val="10"/>
        <rFont val="Times New Roman"/>
        <family val="1"/>
      </rPr>
      <t>If don't go, choose "Never"</t>
    </r>
  </si>
  <si>
    <t>97. N/A</t>
  </si>
  <si>
    <t xml:space="preserve">98. Refused </t>
  </si>
  <si>
    <t>M. Working in your own business</t>
  </si>
  <si>
    <t>O. Working in a political position (LC1, etc)</t>
  </si>
  <si>
    <r>
      <t>K  Working as a</t>
    </r>
    <r>
      <rPr>
        <b/>
        <sz val="9"/>
        <rFont val="Times New Roman"/>
        <family val="1"/>
      </rPr>
      <t xml:space="preserve"> contractual employee or informal employee </t>
    </r>
    <r>
      <rPr>
        <sz val="9"/>
        <rFont val="Times New Roman"/>
        <family val="1"/>
      </rPr>
      <t>for somebody else (private firm, NGO, or religious organization)  on regular or semi-regular basis</t>
    </r>
  </si>
  <si>
    <t>Public tap/standpipe</t>
  </si>
  <si>
    <t>Flush toilet</t>
  </si>
  <si>
    <t>Covered pit latrine</t>
  </si>
  <si>
    <t>Covered VIP latrin</t>
  </si>
  <si>
    <t>Composting toilet</t>
  </si>
  <si>
    <t>No facility/bush/field</t>
  </si>
  <si>
    <t>Bucket toilet</t>
  </si>
  <si>
    <t>Do you share this toilet with other households?</t>
  </si>
  <si>
    <t>D. BASIC HOUSEHOLD INFORMATION</t>
  </si>
  <si>
    <t>2: | __ |  __ | , 3: | __ |  __ | , 4: | __ |  __ |, 5: | __ |  __ |</t>
  </si>
  <si>
    <t>3.ex</t>
  </si>
  <si>
    <t>What is the gender of the household head?</t>
  </si>
  <si>
    <t>What is the highest level of education the male household head (HH) has completed?</t>
  </si>
  <si>
    <r>
      <t>What is the highest level of education the female household head/wife of household head has completed?</t>
    </r>
    <r>
      <rPr>
        <b/>
        <i/>
        <sz val="10"/>
        <rFont val="Times New Roman"/>
        <family val="1"/>
      </rPr>
      <t xml:space="preserve">
</t>
    </r>
  </si>
  <si>
    <t xml:space="preserve">If 1 → </t>
  </si>
  <si>
    <r>
      <t xml:space="preserve">2. No </t>
    </r>
    <r>
      <rPr>
        <b/>
        <sz val="9"/>
        <rFont val="Cambria"/>
        <family val="1"/>
      </rPr>
      <t xml:space="preserve">→ Next child </t>
    </r>
  </si>
  <si>
    <t xml:space="preserve">Gives correct answer (2,500) quickly </t>
  </si>
  <si>
    <t>|__|,|__|__|__|,|__|__|__| USH
98. Refused         99. Don't know</t>
  </si>
  <si>
    <t>2-3 times a month</t>
  </si>
  <si>
    <t>Field Manager</t>
  </si>
  <si>
    <t>Yes → Make sure respondent signs for the gift</t>
  </si>
  <si>
    <t>a) Period:
1. Weekly
2. Biweekly
3. Monthly</t>
  </si>
  <si>
    <r>
      <rPr>
        <sz val="10"/>
        <rFont val="Times New Roman"/>
        <family val="1"/>
      </rPr>
      <t xml:space="preserve">b) Salary:
</t>
    </r>
    <r>
      <rPr>
        <i/>
        <sz val="10"/>
        <rFont val="Times New Roman"/>
        <family val="1"/>
      </rPr>
      <t xml:space="preserve">
USH</t>
    </r>
  </si>
  <si>
    <r>
      <t xml:space="preserve">Is there any payment for </t>
    </r>
    <r>
      <rPr>
        <b/>
        <i/>
        <sz val="10"/>
        <rFont val="Times New Roman"/>
        <family val="1"/>
      </rPr>
      <t>[say activity]</t>
    </r>
    <r>
      <rPr>
        <i/>
        <sz val="10"/>
        <rFont val="Times New Roman"/>
        <family val="1"/>
      </rPr>
      <t xml:space="preserve"> </t>
    </r>
    <r>
      <rPr>
        <sz val="10"/>
        <rFont val="Times New Roman"/>
        <family val="1"/>
      </rPr>
      <t xml:space="preserve">you have done in the last seven days that you have not received yet (meaning people still owe you money or goods for it)? 
Please only count the money we haven't discussed yet.
</t>
    </r>
  </si>
  <si>
    <t>Squatted?</t>
  </si>
  <si>
    <t>Rainwater</t>
  </si>
  <si>
    <t>Do you have any money-making activities other than farming and/or your business?</t>
  </si>
  <si>
    <r>
      <t>What is the</t>
    </r>
    <r>
      <rPr>
        <u/>
        <sz val="10"/>
        <rFont val="Times New Roman"/>
        <family val="1"/>
      </rPr>
      <t xml:space="preserve"> main </t>
    </r>
    <r>
      <rPr>
        <sz val="10"/>
        <rFont val="Times New Roman"/>
        <family val="1"/>
      </rPr>
      <t xml:space="preserve">type of material used for the floor of the house where you sleep?
</t>
    </r>
    <r>
      <rPr>
        <b/>
        <i/>
        <sz val="10"/>
        <rFont val="Times New Roman"/>
        <family val="1"/>
      </rPr>
      <t>Observe if this is correct (if possible) and prod if your observations do not match the answer.</t>
    </r>
  </si>
  <si>
    <r>
      <t xml:space="preserve">What is the </t>
    </r>
    <r>
      <rPr>
        <u/>
        <sz val="10"/>
        <rFont val="Times New Roman"/>
        <family val="1"/>
      </rPr>
      <t>main</t>
    </r>
    <r>
      <rPr>
        <sz val="10"/>
        <rFont val="Times New Roman"/>
        <family val="1"/>
      </rPr>
      <t xml:space="preserve"> type of material used for the walls of the house where you sleep?
</t>
    </r>
    <r>
      <rPr>
        <b/>
        <i/>
        <sz val="10"/>
        <rFont val="Times New Roman"/>
        <family val="1"/>
      </rPr>
      <t>Observe if this is correct (if possible) and prod if your observations do not match the answer.</t>
    </r>
  </si>
  <si>
    <r>
      <t xml:space="preserve">What is your household's </t>
    </r>
    <r>
      <rPr>
        <u/>
        <sz val="10"/>
        <rFont val="Times New Roman"/>
        <family val="1"/>
      </rPr>
      <t>main</t>
    </r>
    <r>
      <rPr>
        <sz val="10"/>
        <rFont val="Times New Roman"/>
        <family val="1"/>
      </rPr>
      <t xml:space="preserve"> source of fuel or energy for lighting?</t>
    </r>
  </si>
  <si>
    <r>
      <t xml:space="preserve">What is the </t>
    </r>
    <r>
      <rPr>
        <u/>
        <sz val="10"/>
        <rFont val="Times New Roman"/>
        <family val="1"/>
      </rPr>
      <t>main</t>
    </r>
    <r>
      <rPr>
        <sz val="10"/>
        <rFont val="Times New Roman"/>
        <family val="1"/>
      </rPr>
      <t xml:space="preserve"> type of material is used for the roof of the house where you sleep?
</t>
    </r>
    <r>
      <rPr>
        <b/>
        <i/>
        <sz val="10"/>
        <rFont val="Times New Roman"/>
        <family val="1"/>
      </rPr>
      <t>Observe if this is correct (if possible) and prod if your observations do not match the answer.</t>
    </r>
  </si>
  <si>
    <t>Radios</t>
  </si>
  <si>
    <t>K.</t>
  </si>
  <si>
    <r>
      <t>M1.</t>
    </r>
    <r>
      <rPr>
        <sz val="7"/>
        <rFont val="Times New Roman"/>
        <family val="1"/>
      </rPr>
      <t xml:space="preserve">          </t>
    </r>
    <r>
      <rPr>
        <sz val="10.5"/>
        <rFont val="Times New Roman"/>
        <family val="1"/>
      </rPr>
      <t> </t>
    </r>
  </si>
  <si>
    <r>
      <t>M2.</t>
    </r>
    <r>
      <rPr>
        <sz val="7"/>
        <rFont val="Times New Roman"/>
        <family val="1"/>
      </rPr>
      <t xml:space="preserve">          </t>
    </r>
    <r>
      <rPr>
        <sz val="10"/>
        <rFont val="Times New Roman"/>
        <family val="1"/>
      </rPr>
      <t> </t>
    </r>
  </si>
  <si>
    <r>
      <t>M3.</t>
    </r>
    <r>
      <rPr>
        <sz val="7"/>
        <rFont val="Times New Roman"/>
        <family val="1"/>
      </rPr>
      <t xml:space="preserve">          </t>
    </r>
    <r>
      <rPr>
        <sz val="10"/>
        <rFont val="Times New Roman"/>
        <family val="1"/>
      </rPr>
      <t> </t>
    </r>
  </si>
  <si>
    <r>
      <t>M4.</t>
    </r>
    <r>
      <rPr>
        <sz val="7"/>
        <rFont val="Times New Roman"/>
        <family val="1"/>
      </rPr>
      <t xml:space="preserve">          </t>
    </r>
    <r>
      <rPr>
        <sz val="10"/>
        <rFont val="Times New Roman"/>
        <family val="1"/>
      </rPr>
      <t> </t>
    </r>
  </si>
  <si>
    <r>
      <t>M5.</t>
    </r>
    <r>
      <rPr>
        <sz val="7"/>
        <rFont val="Times New Roman"/>
        <family val="1"/>
      </rPr>
      <t xml:space="preserve">          </t>
    </r>
    <r>
      <rPr>
        <sz val="10"/>
        <rFont val="Times New Roman"/>
        <family val="1"/>
      </rPr>
      <t> </t>
    </r>
  </si>
  <si>
    <r>
      <t>M6.</t>
    </r>
    <r>
      <rPr>
        <sz val="7"/>
        <rFont val="Times New Roman"/>
        <family val="1"/>
      </rPr>
      <t xml:space="preserve">          </t>
    </r>
    <r>
      <rPr>
        <sz val="10"/>
        <rFont val="Times New Roman"/>
        <family val="1"/>
      </rPr>
      <t> </t>
    </r>
  </si>
  <si>
    <r>
      <t>M7.</t>
    </r>
    <r>
      <rPr>
        <sz val="7"/>
        <rFont val="Times New Roman"/>
        <family val="1"/>
      </rPr>
      <t xml:space="preserve">          </t>
    </r>
    <r>
      <rPr>
        <sz val="10.5"/>
        <rFont val="Times New Roman"/>
        <family val="1"/>
      </rPr>
      <t> </t>
    </r>
  </si>
  <si>
    <r>
      <t>M8.</t>
    </r>
    <r>
      <rPr>
        <sz val="7"/>
        <rFont val="Times New Roman"/>
        <family val="1"/>
      </rPr>
      <t xml:space="preserve">          </t>
    </r>
    <r>
      <rPr>
        <sz val="10"/>
        <rFont val="Times New Roman"/>
        <family val="1"/>
      </rPr>
      <t> </t>
    </r>
  </si>
  <si>
    <r>
      <t>M9.</t>
    </r>
    <r>
      <rPr>
        <sz val="7"/>
        <rFont val="Times New Roman"/>
        <family val="1"/>
      </rPr>
      <t xml:space="preserve">          </t>
    </r>
    <r>
      <rPr>
        <sz val="10"/>
        <rFont val="Times New Roman"/>
        <family val="1"/>
      </rPr>
      <t> </t>
    </r>
  </si>
  <si>
    <r>
      <t>M10.</t>
    </r>
    <r>
      <rPr>
        <sz val="7"/>
        <rFont val="Times New Roman"/>
        <family val="1"/>
      </rPr>
      <t xml:space="preserve">       </t>
    </r>
    <r>
      <rPr>
        <sz val="10"/>
        <rFont val="Times New Roman"/>
        <family val="1"/>
      </rPr>
      <t> </t>
    </r>
  </si>
  <si>
    <r>
      <t>M11.</t>
    </r>
    <r>
      <rPr>
        <sz val="7"/>
        <rFont val="Times New Roman"/>
        <family val="1"/>
      </rPr>
      <t xml:space="preserve">       </t>
    </r>
    <r>
      <rPr>
        <sz val="10"/>
        <rFont val="Times New Roman"/>
        <family val="1"/>
      </rPr>
      <t> </t>
    </r>
  </si>
  <si>
    <r>
      <t>M12.</t>
    </r>
    <r>
      <rPr>
        <sz val="7"/>
        <rFont val="Times New Roman"/>
        <family val="1"/>
      </rPr>
      <t xml:space="preserve">       </t>
    </r>
    <r>
      <rPr>
        <sz val="10"/>
        <rFont val="Times New Roman"/>
        <family val="1"/>
      </rPr>
      <t> </t>
    </r>
  </si>
  <si>
    <r>
      <rPr>
        <b/>
        <sz val="10"/>
        <rFont val="Times New Roman"/>
        <family val="1"/>
      </rPr>
      <t xml:space="preserve">Read: </t>
    </r>
    <r>
      <rPr>
        <sz val="10"/>
        <rFont val="Times New Roman"/>
        <family val="1"/>
      </rPr>
      <t>Now I want to ask you a few questions about the money-generating activities of your household.</t>
    </r>
  </si>
  <si>
    <t>How many people in this household work and contribute financially to the household resources,  including you?</t>
  </si>
  <si>
    <t>1. Government</t>
  </si>
  <si>
    <t>2. Private (NGO, religious, or boarding)</t>
  </si>
  <si>
    <r>
      <t xml:space="preserve"> DD: </t>
    </r>
    <r>
      <rPr>
        <sz val="11"/>
        <color indexed="8"/>
        <rFont val="Arial Narrow"/>
        <family val="2"/>
      </rPr>
      <t>|__|__|</t>
    </r>
    <r>
      <rPr>
        <sz val="10"/>
        <color indexed="8"/>
        <rFont val="Arial Narrow"/>
        <family val="2"/>
      </rPr>
      <t xml:space="preserve"> MM: </t>
    </r>
    <r>
      <rPr>
        <sz val="11"/>
        <color indexed="8"/>
        <rFont val="Arial Narrow"/>
        <family val="2"/>
      </rPr>
      <t xml:space="preserve">|__|__| </t>
    </r>
    <r>
      <rPr>
        <sz val="10"/>
        <color indexed="8"/>
        <rFont val="Arial Narrow"/>
        <family val="2"/>
      </rPr>
      <t xml:space="preserve">YYYY: </t>
    </r>
    <r>
      <rPr>
        <sz val="11"/>
        <color indexed="8"/>
        <rFont val="Arial Narrow"/>
        <family val="2"/>
      </rPr>
      <t>|__|__|__|__|</t>
    </r>
  </si>
  <si>
    <r>
      <t>Other</t>
    </r>
    <r>
      <rPr>
        <i/>
        <sz val="10"/>
        <rFont val="Times New Roman"/>
        <family val="1"/>
      </rPr>
      <t xml:space="preserve"> (enter code</t>
    </r>
    <r>
      <rPr>
        <i/>
        <sz val="10"/>
        <color indexed="8"/>
        <rFont val="Times New Roman"/>
        <family val="1"/>
      </rPr>
      <t xml:space="preserve">) </t>
    </r>
    <r>
      <rPr>
        <sz val="10"/>
        <color indexed="8"/>
        <rFont val="Times New Roman"/>
        <family val="1"/>
      </rPr>
      <t>[________________]</t>
    </r>
  </si>
  <si>
    <r>
      <t>Other (</t>
    </r>
    <r>
      <rPr>
        <i/>
        <sz val="10"/>
        <color indexed="8"/>
        <rFont val="Times New Roman"/>
        <family val="1"/>
      </rPr>
      <t>specify</t>
    </r>
    <r>
      <rPr>
        <sz val="10"/>
        <color indexed="8"/>
        <rFont val="Times New Roman"/>
        <family val="1"/>
      </rPr>
      <t>) [_____________________]</t>
    </r>
  </si>
  <si>
    <r>
      <rPr>
        <b/>
        <sz val="10"/>
        <color indexed="8"/>
        <rFont val="Times New Roman"/>
        <family val="1"/>
      </rPr>
      <t xml:space="preserve">Read: </t>
    </r>
    <r>
      <rPr>
        <sz val="10"/>
        <color indexed="8"/>
        <rFont val="Times New Roman"/>
        <family val="1"/>
      </rPr>
      <t>Now I would like to ask some basic background questions about you.</t>
    </r>
  </si>
  <si>
    <t>Can you read well enough to read a sentence in at least one language?</t>
  </si>
  <si>
    <t xml:space="preserve">Thank you. Now I want to ask you about the houses your household occupies. By your household, remember that we mean people who live on the same compound, eat together from the same pot, share financial resources, and recognize one person as the head.  </t>
  </si>
  <si>
    <t>D. (cont'd) HOUSEHOLD CHILD ROSTER</t>
  </si>
  <si>
    <t>Other (use code) [___________]</t>
  </si>
  <si>
    <t xml:space="preserve">D. </t>
  </si>
  <si>
    <t>How many people total (including yourself) are a part of this household?</t>
  </si>
  <si>
    <r>
      <t>J.  Working as a</t>
    </r>
    <r>
      <rPr>
        <b/>
        <sz val="9"/>
        <rFont val="Times New Roman"/>
        <family val="1"/>
      </rPr>
      <t xml:space="preserve"> formal employee</t>
    </r>
    <r>
      <rPr>
        <sz val="9"/>
        <rFont val="Times New Roman"/>
        <family val="1"/>
      </rPr>
      <t xml:space="preserve"> for somebody else (private firm, NGO, or religious organization) on </t>
    </r>
    <r>
      <rPr>
        <b/>
        <sz val="9"/>
        <rFont val="Times New Roman"/>
        <family val="1"/>
      </rPr>
      <t>regular basis</t>
    </r>
  </si>
  <si>
    <t>A religious group (for example, a choir, a mother's group based at the church, or others)?</t>
  </si>
  <si>
    <t>For any of the questions below, put -98 if "Refused", and -99 if "Don't Know"</t>
  </si>
  <si>
    <r>
      <t xml:space="preserve">So, are you currently an active member, participant, or a volunteer for any of the following groups?
</t>
    </r>
    <r>
      <rPr>
        <b/>
        <sz val="10"/>
        <rFont val="Times New Roman"/>
        <family val="1"/>
      </rPr>
      <t>If  YES ask:</t>
    </r>
    <r>
      <rPr>
        <sz val="10"/>
        <rFont val="Times New Roman"/>
        <family val="1"/>
      </rPr>
      <t xml:space="preserve"> Is this a TASO group?</t>
    </r>
  </si>
  <si>
    <t>Member?</t>
  </si>
  <si>
    <t>TASO Group?</t>
  </si>
  <si>
    <t>Do you participate in running this business?</t>
  </si>
  <si>
    <t>Are you the main person making decisions about this business?</t>
  </si>
  <si>
    <t>| __ | __ |</t>
  </si>
  <si>
    <t>Do you dig in your own or other people's gardens?</t>
  </si>
  <si>
    <t>What is the highest level of education you have completed?</t>
  </si>
  <si>
    <t>Are you currently enrolled in school or training?</t>
  </si>
  <si>
    <t>What is the highest level of education your father has completed?</t>
  </si>
  <si>
    <t>What is the highest level of education your mother has completed?</t>
  </si>
  <si>
    <t>Education code: | __ |  __ |</t>
  </si>
  <si>
    <r>
      <t xml:space="preserve">In the past 7 days, how many days did you work at </t>
    </r>
    <r>
      <rPr>
        <b/>
        <sz val="10"/>
        <rFont val="Times New Roman"/>
        <family val="1"/>
      </rPr>
      <t>[say activity]</t>
    </r>
    <r>
      <rPr>
        <sz val="10"/>
        <rFont val="Times New Roman"/>
        <family val="1"/>
      </rPr>
      <t>?</t>
    </r>
  </si>
  <si>
    <t>Repay an advance payment for future work</t>
  </si>
  <si>
    <t>Parents, step-parents or parents-in-law</t>
  </si>
  <si>
    <t>Aunts or uncles</t>
  </si>
  <si>
    <t>D.</t>
  </si>
  <si>
    <t>I</t>
  </si>
  <si>
    <t>K</t>
  </si>
  <si>
    <t>L</t>
  </si>
  <si>
    <t>N</t>
  </si>
  <si>
    <t>Non-relatives, such as domestic or farming help</t>
  </si>
  <si>
    <t>1.        </t>
  </si>
  <si>
    <t>2.        </t>
  </si>
  <si>
    <t>3.        </t>
  </si>
  <si>
    <t>4.        </t>
  </si>
  <si>
    <t>5.        </t>
  </si>
  <si>
    <t>6.        </t>
  </si>
  <si>
    <t>7.        </t>
  </si>
  <si>
    <t>8.        </t>
  </si>
  <si>
    <t>F.</t>
  </si>
  <si>
    <r>
      <t xml:space="preserve">Read: </t>
    </r>
    <r>
      <rPr>
        <sz val="10"/>
        <rFont val="Times New Roman"/>
        <family val="1"/>
      </rPr>
      <t xml:space="preserve">Now I want to ask you about the types of work you did in the last </t>
    </r>
    <r>
      <rPr>
        <u/>
        <sz val="10"/>
        <rFont val="Times New Roman"/>
        <family val="1"/>
      </rPr>
      <t>4 weeks</t>
    </r>
    <r>
      <rPr>
        <sz val="10"/>
        <rFont val="Times New Roman"/>
        <family val="1"/>
      </rPr>
      <t>. This includes activities you do for money or trade, or for yourself and household.</t>
    </r>
    <r>
      <rPr>
        <b/>
        <sz val="10"/>
        <rFont val="Times New Roman"/>
        <family val="1"/>
      </rPr>
      <t xml:space="preserve">
</t>
    </r>
    <r>
      <rPr>
        <sz val="10"/>
        <rFont val="Times New Roman"/>
        <family val="1"/>
      </rPr>
      <t xml:space="preserve">I will read you a list of activities, and you will say what you have done. So, in the last four weeks have you…?
</t>
    </r>
    <r>
      <rPr>
        <b/>
        <sz val="10"/>
        <rFont val="Times New Roman"/>
        <family val="1"/>
      </rPr>
      <t xml:space="preserve">
Ask about each activity from the list. If yes, put the corresponding letter in the table, then return to reading from the list. </t>
    </r>
  </si>
  <si>
    <t>Piped water/Tap in compound</t>
  </si>
  <si>
    <t>Tube well or borehole</t>
  </si>
  <si>
    <t>Protected well</t>
  </si>
  <si>
    <t>Unprotected well</t>
  </si>
  <si>
    <t>Surface water (River, dam, lake, pond, stream)</t>
  </si>
  <si>
    <t>Bottled water</t>
  </si>
  <si>
    <t>HH:MM</t>
  </si>
  <si>
    <t xml:space="preserve"> |__|__|:|__|__|</t>
  </si>
  <si>
    <t>If you had to borrow or get a loan of 100,000 USH within the next month, do you think you could get such a loan? (for example, because somebody in your family is sick)</t>
  </si>
  <si>
    <r>
      <t xml:space="preserve">If you had to borrow 15,000 USH within the next month, do you think you could get such a loan? 
</t>
    </r>
    <r>
      <rPr>
        <b/>
        <i/>
        <sz val="10"/>
        <rFont val="Times New Roman"/>
        <family val="1"/>
      </rPr>
      <t>Explain that we want to know if they could borrow this small amount, even if they could just get it from savings or by selling something instead. This does not have to be a formal loan that collects interest.</t>
    </r>
  </si>
  <si>
    <t>Your or household member's workplace</t>
  </si>
  <si>
    <t>NGO or religious organization</t>
  </si>
  <si>
    <t>A</t>
  </si>
  <si>
    <t>B</t>
  </si>
  <si>
    <t>C</t>
  </si>
  <si>
    <t>D</t>
  </si>
  <si>
    <t>E</t>
  </si>
  <si>
    <t>F</t>
  </si>
  <si>
    <t xml:space="preserve">A.  </t>
  </si>
  <si>
    <t>B.</t>
  </si>
  <si>
    <t>Fetching water</t>
  </si>
  <si>
    <t>Hunting</t>
  </si>
  <si>
    <t>C.</t>
  </si>
  <si>
    <t xml:space="preserve">D.  </t>
  </si>
  <si>
    <t>Digging in your own garden (including cash crops)</t>
  </si>
  <si>
    <t>Digging in someone else’s garden</t>
  </si>
  <si>
    <t>E.</t>
  </si>
  <si>
    <r>
      <rPr>
        <b/>
        <sz val="10"/>
        <rFont val="Times New Roman"/>
        <family val="1"/>
      </rPr>
      <t>Quantity</t>
    </r>
    <r>
      <rPr>
        <b/>
        <i/>
        <sz val="10"/>
        <rFont val="Times New Roman"/>
        <family val="1"/>
      </rPr>
      <t xml:space="preserve">
Put decimals (&lt; 1 unit) after dot
</t>
    </r>
  </si>
  <si>
    <r>
      <rPr>
        <b/>
        <sz val="10"/>
        <rFont val="Times New Roman"/>
        <family val="1"/>
      </rPr>
      <t>Unit</t>
    </r>
    <r>
      <rPr>
        <b/>
        <i/>
        <sz val="10"/>
        <rFont val="Times New Roman"/>
        <family val="1"/>
      </rPr>
      <t xml:space="preserve">
</t>
    </r>
    <r>
      <rPr>
        <b/>
        <i/>
        <sz val="9"/>
        <rFont val="Times New Roman"/>
        <family val="1"/>
      </rPr>
      <t>Use land units table</t>
    </r>
  </si>
  <si>
    <t>If 0 
→</t>
  </si>
  <si>
    <t>Next
Sect.</t>
  </si>
  <si>
    <t>Self</t>
  </si>
  <si>
    <t xml:space="preserve">F.  </t>
  </si>
  <si>
    <t>G.</t>
  </si>
  <si>
    <t>Collecting firewood or grass for yourself or sale</t>
  </si>
  <si>
    <t>Taking care of (raising) your own animals</t>
  </si>
  <si>
    <t>H.</t>
  </si>
  <si>
    <t>No, deaf</t>
  </si>
  <si>
    <t>Advance payment for future work</t>
  </si>
  <si>
    <t>Visibly more tired/sick</t>
  </si>
  <si>
    <t>Someone from the household/village/community</t>
  </si>
  <si>
    <t>PA</t>
  </si>
  <si>
    <t>Other team member</t>
  </si>
  <si>
    <r>
      <t>Other (</t>
    </r>
    <r>
      <rPr>
        <sz val="8"/>
        <rFont val="Times New Roman"/>
        <family val="1"/>
      </rPr>
      <t>SPECIFY TITLE/RELATIONSHIP</t>
    </r>
    <r>
      <rPr>
        <sz val="10"/>
        <rFont val="Times New Roman"/>
        <family val="1"/>
      </rPr>
      <t>): [_________________________________]</t>
    </r>
  </si>
  <si>
    <t>A. INTRODUCTION</t>
  </si>
  <si>
    <t xml:space="preserve">A. </t>
  </si>
  <si>
    <t>B. BASIC INFORMATION</t>
  </si>
  <si>
    <t>E. HOUSEHOLD RESOURCES</t>
  </si>
  <si>
    <t>K. SOCIAL CAPITAL</t>
  </si>
  <si>
    <t>L SEXUAL ACTIVITY</t>
  </si>
  <si>
    <t>M. RAVENS TEST</t>
  </si>
  <si>
    <t>N. END OF SURVEY</t>
  </si>
  <si>
    <t xml:space="preserve">B. </t>
  </si>
  <si>
    <t xml:space="preserve">C. </t>
  </si>
  <si>
    <r>
      <rPr>
        <b/>
        <sz val="10"/>
        <rFont val="Times New Roman"/>
        <family val="1"/>
      </rPr>
      <t xml:space="preserve">Read: </t>
    </r>
    <r>
      <rPr>
        <sz val="10"/>
        <rFont val="Times New Roman"/>
        <family val="1"/>
      </rPr>
      <t>Now I'd like to ask you some questions about your education and literacy.
Remember, this will not influence your eligibility for help in the future, so please be honest with your answers.</t>
    </r>
  </si>
  <si>
    <t>C. EDUCATION AND LITERACY</t>
  </si>
  <si>
    <t xml:space="preserve">E. </t>
  </si>
  <si>
    <t>Working for someone as a casual laborer</t>
  </si>
  <si>
    <t>I.  Working as a formal employee for the government (incl. military)</t>
  </si>
  <si>
    <t>Motor vehicle (car, truck, or motorized tractor)</t>
  </si>
  <si>
    <t xml:space="preserve">Gives correct answer (2,200) quickly </t>
  </si>
  <si>
    <t xml:space="preserve">Gives correct answer (5) quickly </t>
  </si>
  <si>
    <t>Unable to read at all</t>
  </si>
  <si>
    <t>Language of the interview:</t>
  </si>
  <si>
    <t>Respondent ID Code</t>
  </si>
  <si>
    <t>Kumam</t>
  </si>
  <si>
    <t>Able to read whole sentence</t>
  </si>
  <si>
    <t>Able to read only parts of the sentence</t>
  </si>
  <si>
    <t>N/A: Blind or visually impaired</t>
  </si>
  <si>
    <t>No, other: [___________________________]</t>
  </si>
  <si>
    <r>
      <t xml:space="preserve">Are you the head of the household? </t>
    </r>
    <r>
      <rPr>
        <i/>
        <sz val="10"/>
        <rFont val="Times New Roman"/>
        <family val="1"/>
      </rPr>
      <t>By household head we mean the person who normally makes major financial and other decisions in the household.</t>
    </r>
  </si>
  <si>
    <t>Is the house where you sleep owned by your household, rented, subsidized, provided free to you, or occupied without authorization [squatting]?</t>
  </si>
  <si>
    <t>1.a.</t>
  </si>
  <si>
    <t>1.b.</t>
  </si>
  <si>
    <t>2.a.</t>
  </si>
  <si>
    <t>3.a.</t>
  </si>
  <si>
    <t>3.b.</t>
  </si>
  <si>
    <t>No, too sick or in pain</t>
  </si>
  <si>
    <t xml:space="preserve">→ If suspicious, call supervisor and explain why you are suspicious. Your supervisor will instruct you on next steps. </t>
  </si>
  <si>
    <r>
      <t xml:space="preserve">→ </t>
    </r>
    <r>
      <rPr>
        <b/>
        <sz val="10"/>
        <rFont val="Times New Roman"/>
        <family val="1"/>
      </rPr>
      <t>If no, stop survey and consult your team leader</t>
    </r>
  </si>
  <si>
    <t xml:space="preserve">I know who this person is, or, I have seen them before </t>
  </si>
  <si>
    <t xml:space="preserve">This person is an acquaintance (for example, I interact with him/her once in awhile)  </t>
  </si>
  <si>
    <t>→ Stop survey and consult your team leader</t>
  </si>
  <si>
    <t>→ End survey and inform your supervisor</t>
  </si>
  <si>
    <t>Yes, I am from or I live in the same subcounty</t>
  </si>
  <si>
    <t>Yes, I am from or I live in the same parish</t>
  </si>
  <si>
    <t>Yes, I am from or I live in the same village</t>
  </si>
  <si>
    <t>No, I am not from or I do not live around this area</t>
  </si>
  <si>
    <t>Use codes from "schooling level" table</t>
  </si>
  <si>
    <t>Owned?</t>
  </si>
  <si>
    <t>Rented?</t>
  </si>
  <si>
    <t>Borrowed?</t>
  </si>
  <si>
    <t>Number of rooms/huts:   |___|___|</t>
  </si>
  <si>
    <t>I know this person a fair amount or know their family a fair amount</t>
  </si>
  <si>
    <t>I know this person very well (this includes close relatives, good friends) or know this person's family very well</t>
  </si>
  <si>
    <t>I do not know this person or their family</t>
  </si>
  <si>
    <t>What is the nearest source of drinking water to your household that you regularly use?</t>
  </si>
  <si>
    <t>In the past 4 weeks, was there ever no food to eat of any kind in your house because of lack of money or  resources to get food?</t>
  </si>
  <si>
    <t>Yes, but not one the primary or secondary source of income</t>
  </si>
  <si>
    <t>1. Male</t>
  </si>
  <si>
    <t>2. Female</t>
  </si>
  <si>
    <t>Sometimes</t>
  </si>
  <si>
    <t>How often did this happen in the past 4 weeks?</t>
  </si>
  <si>
    <t>Rarely (1-2 times)</t>
  </si>
  <si>
    <t>Sometimes (3-10 times)</t>
  </si>
  <si>
    <t>Often (more than 10 times)</t>
  </si>
  <si>
    <t>In the past 4 weeks, did you or any household member go a whole day and night without eating anything at all because there was not enough food?</t>
  </si>
  <si>
    <t xml:space="preserve">Date of Interview:                                                                      </t>
  </si>
  <si>
    <t xml:space="preserve">  DD/MM/YY:   |___|___|/|___|___|/|___|___|</t>
  </si>
  <si>
    <t>Respondent First Name:</t>
  </si>
  <si>
    <t>Respondent third/other name:</t>
  </si>
  <si>
    <t xml:space="preserve"> ________________________________________</t>
  </si>
  <si>
    <t>Team Leader's ID Code</t>
  </si>
  <si>
    <t>Is the TL present at the interview?</t>
  </si>
  <si>
    <t xml:space="preserve">Yes        </t>
  </si>
  <si>
    <t>Parish:</t>
  </si>
  <si>
    <t>Sub-county:</t>
  </si>
  <si>
    <t xml:space="preserve">District: </t>
  </si>
  <si>
    <t>N________________E__________________</t>
  </si>
  <si>
    <t xml:space="preserve">GPS Coordinates: </t>
  </si>
  <si>
    <t>13.a.</t>
  </si>
  <si>
    <t>Phone number where the respondent can be reached</t>
  </si>
  <si>
    <t>13.b.</t>
  </si>
  <si>
    <t>Whose phone number is this?</t>
  </si>
  <si>
    <t>No, intoxicated</t>
  </si>
  <si>
    <t>No, mentally impaired</t>
  </si>
  <si>
    <t xml:space="preserve">           Location of interview</t>
  </si>
  <si>
    <t>__________________________________________</t>
  </si>
  <si>
    <t>________________________________________</t>
  </si>
  <si>
    <t>2.b.</t>
  </si>
  <si>
    <t>Banyakole</t>
  </si>
  <si>
    <t>→ If no, stop survey</t>
  </si>
  <si>
    <t>Relative or friend</t>
  </si>
  <si>
    <r>
      <t>Other (</t>
    </r>
    <r>
      <rPr>
        <sz val="8"/>
        <rFont val="Times New Roman"/>
        <family val="1"/>
      </rPr>
      <t>SPECIFY</t>
    </r>
    <r>
      <rPr>
        <sz val="10"/>
        <rFont val="Times New Roman"/>
        <family val="1"/>
      </rPr>
      <t>): [_______________]</t>
    </r>
  </si>
  <si>
    <t>Once in awhile - couldn't specify time</t>
  </si>
  <si>
    <r>
      <t xml:space="preserve">How often do you deposit money into this bank account?
</t>
    </r>
    <r>
      <rPr>
        <b/>
        <i/>
        <sz val="10"/>
        <rFont val="Times New Roman"/>
        <family val="1"/>
      </rPr>
      <t>Please prompt and only choose option 8 if respondent is unable to approximate at all</t>
    </r>
  </si>
  <si>
    <r>
      <t xml:space="preserve">How often do you deposit money with this SACCO?
</t>
    </r>
    <r>
      <rPr>
        <b/>
        <i/>
        <sz val="10"/>
        <rFont val="Times New Roman"/>
        <family val="1"/>
      </rPr>
      <t>Please prompt and only choose option 8 if respondent is unable to approximate at all</t>
    </r>
  </si>
  <si>
    <r>
      <t xml:space="preserve">How often do you make contributions to this savings group?
</t>
    </r>
    <r>
      <rPr>
        <b/>
        <i/>
        <sz val="10"/>
        <rFont val="Times New Roman"/>
        <family val="1"/>
      </rPr>
      <t>Please prompt and only choose option 8 if respondent is unable to approximate at all</t>
    </r>
  </si>
  <si>
    <r>
      <t xml:space="preserve">How often do you deposit/put savings in these other places?
</t>
    </r>
    <r>
      <rPr>
        <b/>
        <i/>
        <sz val="10"/>
        <rFont val="Times New Roman"/>
        <family val="1"/>
      </rPr>
      <t>Please prompt and only choose option 8 if respondent is unable to approximate at all</t>
    </r>
  </si>
  <si>
    <t>Mother/father</t>
  </si>
  <si>
    <t>Mother-in-law / father-in-law</t>
  </si>
  <si>
    <t>Grandparent</t>
  </si>
  <si>
    <t>Cousin</t>
  </si>
  <si>
    <t>(vii)</t>
  </si>
  <si>
    <t>(viii)</t>
  </si>
  <si>
    <t>(ix)</t>
  </si>
  <si>
    <t>(x)</t>
  </si>
  <si>
    <r>
      <rPr>
        <sz val="10"/>
        <rFont val="Times New Roman"/>
        <family val="1"/>
      </rPr>
      <t>Activity</t>
    </r>
    <r>
      <rPr>
        <b/>
        <i/>
        <sz val="10"/>
        <rFont val="Times New Roman"/>
        <family val="1"/>
      </rPr>
      <t xml:space="preserve">
(Use letter code above)</t>
    </r>
  </si>
  <si>
    <t>→</t>
  </si>
  <si>
    <t>Commercial Bank</t>
  </si>
  <si>
    <t>Savings group/cash box</t>
  </si>
  <si>
    <t>Microfinance agency</t>
  </si>
  <si>
    <t>Moneylender</t>
  </si>
  <si>
    <t>|__|__| people</t>
  </si>
  <si>
    <t>Do you have any loans in-kind that you have not yet repaid, for example, a bag of millet that was borrowed?</t>
  </si>
  <si>
    <t>If you had to repay these loans in cash right now, how much would you have to pay?</t>
  </si>
  <si>
    <t>If yes, how much?</t>
  </si>
  <si>
    <t>A few times a year</t>
  </si>
  <si>
    <t>Annually</t>
  </si>
  <si>
    <t>Only once</t>
  </si>
  <si>
    <t xml:space="preserve">How old were you when you had sexual intercourse for the very first time? </t>
  </si>
  <si>
    <t xml:space="preserve">Age in years:   |__|__| </t>
  </si>
  <si>
    <t>Never had sexual intercourse</t>
  </si>
  <si>
    <r>
      <t xml:space="preserve">The </t>
    </r>
    <r>
      <rPr>
        <u/>
        <sz val="10"/>
        <rFont val="Times New Roman"/>
        <family val="1"/>
      </rPr>
      <t>first</t>
    </r>
    <r>
      <rPr>
        <sz val="10"/>
        <rFont val="Times New Roman"/>
        <family val="1"/>
      </rPr>
      <t xml:space="preserve"> time you had sexual intercourse, was a condom used?</t>
    </r>
  </si>
  <si>
    <r>
      <t xml:space="preserve">When was the last time you had sexual intercourse?
</t>
    </r>
    <r>
      <rPr>
        <b/>
        <sz val="10"/>
        <rFont val="Times New Roman"/>
        <family val="1"/>
      </rPr>
      <t>If less than 12 months, answer must be recorder in days, weeks, or months
If 12 months (1 year) or more, answer must be recorded in years</t>
    </r>
  </si>
  <si>
    <r>
      <t xml:space="preserve">The </t>
    </r>
    <r>
      <rPr>
        <u/>
        <sz val="10"/>
        <rFont val="Times New Roman"/>
        <family val="1"/>
      </rPr>
      <t>last</t>
    </r>
    <r>
      <rPr>
        <sz val="10"/>
        <rFont val="Times New Roman"/>
        <family val="1"/>
      </rPr>
      <t xml:space="preserve"> time you had sexual intercourse, was a condom used?</t>
    </r>
  </si>
  <si>
    <t xml:space="preserve">Number of partners:   |__|__| </t>
  </si>
  <si>
    <t>How many sexual partners have you had in your life?</t>
  </si>
  <si>
    <t>Next section</t>
  </si>
  <si>
    <t>Acholi</t>
  </si>
  <si>
    <t>Alur</t>
  </si>
  <si>
    <t>Bafumbira</t>
  </si>
  <si>
    <t>Baganda</t>
  </si>
  <si>
    <t>Bakiga</t>
  </si>
  <si>
    <t>Banyoro</t>
  </si>
  <si>
    <t>Iteso</t>
  </si>
  <si>
    <t>What is your tribe?</t>
  </si>
  <si>
    <t>Solar</t>
  </si>
  <si>
    <t>Goats and sheep</t>
  </si>
  <si>
    <t>Yes, main source of income</t>
  </si>
  <si>
    <t>Yes, secondary source of income</t>
  </si>
  <si>
    <r>
      <rPr>
        <sz val="7"/>
        <rFont val="Times New Roman"/>
        <family val="1"/>
      </rPr>
      <t xml:space="preserve"> </t>
    </r>
    <r>
      <rPr>
        <sz val="10"/>
        <rFont val="Times New Roman"/>
        <family val="1"/>
      </rPr>
      <t>No</t>
    </r>
  </si>
  <si>
    <t>A funeral/burial group?</t>
  </si>
  <si>
    <t>What is your religion?</t>
  </si>
  <si>
    <t>Energy-saver light with battery</t>
  </si>
  <si>
    <t>What type of toilet does your household usually use?</t>
  </si>
  <si>
    <t>HH: |__|__|  MM: |__|__|</t>
  </si>
  <si>
    <r>
      <t xml:space="preserve">Pigs  </t>
    </r>
    <r>
      <rPr>
        <b/>
        <sz val="10"/>
        <rFont val="Times New Roman"/>
        <family val="1"/>
      </rPr>
      <t xml:space="preserve">(do </t>
    </r>
    <r>
      <rPr>
        <b/>
        <u/>
        <sz val="10"/>
        <rFont val="Times New Roman"/>
        <family val="1"/>
      </rPr>
      <t>not</t>
    </r>
    <r>
      <rPr>
        <b/>
        <sz val="10"/>
        <rFont val="Times New Roman"/>
        <family val="1"/>
      </rPr>
      <t xml:space="preserve"> ask of Muslim respondents)</t>
    </r>
  </si>
  <si>
    <t>|__|,|__|__|__|,|__|__|__|</t>
  </si>
  <si>
    <t>|__|,|__|__|__|,|__|__|__| USH</t>
  </si>
  <si>
    <r>
      <t xml:space="preserve">Do you currently have any savings in a SACCO? 
</t>
    </r>
    <r>
      <rPr>
        <b/>
        <i/>
        <sz val="10"/>
        <rFont val="Times New Roman"/>
        <family val="1"/>
      </rPr>
      <t>(A SACCO is a formal, registered savings group).</t>
    </r>
  </si>
  <si>
    <t>A school committee or school club or a school prefect or other school management?</t>
  </si>
  <si>
    <t xml:space="preserve">     a) Days ago:       |__|__| </t>
  </si>
  <si>
    <t xml:space="preserve">     b) Weeks ago:    |__|__| </t>
  </si>
  <si>
    <t xml:space="preserve">     c) Months ago:  |__|__| </t>
  </si>
  <si>
    <t xml:space="preserve">     d) Years ago:      |__|__| </t>
  </si>
  <si>
    <t>Always</t>
  </si>
  <si>
    <t>Often</t>
  </si>
  <si>
    <t>Rarely</t>
  </si>
  <si>
    <t>Son-in-law / daughter-in-law</t>
  </si>
  <si>
    <t>Grandchild</t>
  </si>
  <si>
    <t>Niece / nephew</t>
  </si>
  <si>
    <t>Don’t know</t>
  </si>
  <si>
    <t>Refused</t>
  </si>
  <si>
    <t>Catholicism</t>
  </si>
  <si>
    <t>Born Again/Pentecostalism/Savedee</t>
  </si>
  <si>
    <t>Islam</t>
  </si>
  <si>
    <t>Traditional religion</t>
  </si>
  <si>
    <t>Hinduism</t>
  </si>
  <si>
    <t>Non-religious/atheist</t>
  </si>
  <si>
    <t xml:space="preserve">Widowed </t>
  </si>
  <si>
    <t xml:space="preserve">Divorced / Separated </t>
  </si>
  <si>
    <t xml:space="preserve">Cohabitating </t>
  </si>
  <si>
    <t>Never married and not cohabitating (Single)</t>
  </si>
  <si>
    <t>Did respondent receive in-kind gift?</t>
  </si>
  <si>
    <t>If non-team members were present (i.e. someone from hh or community, why did the survey continue and the person was not evicted?</t>
  </si>
  <si>
    <t>Gives correct answer (4,000) quickly</t>
  </si>
  <si>
    <t>Gives correct answer after 10 seconds</t>
  </si>
  <si>
    <t xml:space="preserve">Does not even try to answer  </t>
  </si>
  <si>
    <t xml:space="preserve">Gives wrong answer   </t>
  </si>
  <si>
    <t xml:space="preserve">Gives correct answer (goats) quickly </t>
  </si>
  <si>
    <t>Had to stop or pause interview because respondent significantly sick</t>
  </si>
  <si>
    <r>
      <rPr>
        <b/>
        <i/>
        <sz val="10"/>
        <rFont val="Times New Roman"/>
        <family val="1"/>
      </rPr>
      <t>Do not read aloud:</t>
    </r>
    <r>
      <rPr>
        <sz val="10"/>
        <rFont val="Times New Roman"/>
        <family val="1"/>
      </rPr>
      <t xml:space="preserve"> How would you assess the respondent's physical state at the end of the interview, compared to their state when the interview began?</t>
    </r>
  </si>
  <si>
    <r>
      <rPr>
        <b/>
        <i/>
        <sz val="10"/>
        <rFont val="Times New Roman"/>
        <family val="1"/>
      </rPr>
      <t xml:space="preserve">Do not read aloud: </t>
    </r>
    <r>
      <rPr>
        <sz val="10"/>
        <rFont val="Times New Roman"/>
        <family val="1"/>
      </rPr>
      <t>Are you suspicious that this person was intoxicated during this interview?</t>
    </r>
  </si>
  <si>
    <t>No, completely sober</t>
  </si>
  <si>
    <t>A little bit intoxicated</t>
  </si>
  <si>
    <t>Somewhat intoxicated</t>
  </si>
  <si>
    <t>Totally intoxicated</t>
  </si>
  <si>
    <r>
      <rPr>
        <b/>
        <i/>
        <sz val="10"/>
        <rFont val="Times New Roman"/>
        <family val="1"/>
      </rPr>
      <t xml:space="preserve">Do not read aloud: </t>
    </r>
    <r>
      <rPr>
        <sz val="10"/>
        <rFont val="Times New Roman"/>
        <family val="1"/>
      </rPr>
      <t>How did this person’s thought process appear to you during the survey?</t>
    </r>
  </si>
  <si>
    <t>Logical and sensible</t>
  </si>
  <si>
    <t>A little unclear or confused</t>
  </si>
  <si>
    <t>Several times unclear or insensible</t>
  </si>
  <si>
    <t>Totally unclear or disoriented</t>
  </si>
  <si>
    <t>Enumerator comments</t>
  </si>
  <si>
    <r>
      <rPr>
        <b/>
        <i/>
        <sz val="10"/>
        <rFont val="Times New Roman"/>
        <family val="1"/>
      </rPr>
      <t xml:space="preserve">Do not read aloud: </t>
    </r>
    <r>
      <rPr>
        <sz val="10"/>
        <rFont val="Times New Roman"/>
        <family val="1"/>
      </rPr>
      <t>How did this person’s emotional state appear to you during the survey?</t>
    </r>
  </si>
  <si>
    <t>Showed no emotion at all</t>
  </si>
  <si>
    <t>Very emotional at times or throughout entire interview</t>
  </si>
  <si>
    <t>Mostly stable but somewhat unstable at points</t>
  </si>
  <si>
    <t>Emotionally stable throughout interview</t>
  </si>
  <si>
    <t>Showed inappropriate emotions (i.e., laughed when talking about atrocities)</t>
  </si>
  <si>
    <t>Proceed with survey ONLY after completing this module and reading the Informed Consent.</t>
  </si>
  <si>
    <t>Female</t>
  </si>
  <si>
    <t>Male</t>
  </si>
  <si>
    <t>Number of Days</t>
  </si>
  <si>
    <t>USH</t>
  </si>
  <si>
    <t>(i)</t>
  </si>
  <si>
    <t>(ii)</t>
  </si>
  <si>
    <t>(iii)</t>
  </si>
  <si>
    <t>(iv)</t>
  </si>
  <si>
    <t>(v)</t>
  </si>
  <si>
    <t>(vi)</t>
  </si>
  <si>
    <t>Non-household relative</t>
    <phoneticPr fontId="4" type="noConversion"/>
  </si>
  <si>
    <t>Household</t>
    <phoneticPr fontId="4" type="noConversion"/>
  </si>
  <si>
    <t>Bicycles</t>
  </si>
  <si>
    <t>Donkeys</t>
  </si>
  <si>
    <t>NO.</t>
  </si>
  <si>
    <t>In general, are you someone who mobilizes the community for meetings?</t>
  </si>
  <si>
    <t>A water committee?</t>
  </si>
  <si>
    <t>GROUPS AND NETWORKS</t>
  </si>
  <si>
    <t>Televisions</t>
  </si>
  <si>
    <r>
      <t>C</t>
    </r>
    <r>
      <rPr>
        <sz val="9"/>
        <rFont val="Times New Roman"/>
        <family val="1"/>
      </rPr>
      <t>ODING</t>
    </r>
    <r>
      <rPr>
        <sz val="10"/>
        <rFont val="Times New Roman"/>
        <family val="1"/>
      </rPr>
      <t xml:space="preserve"> C</t>
    </r>
    <r>
      <rPr>
        <sz val="9"/>
        <rFont val="Times New Roman"/>
        <family val="1"/>
      </rPr>
      <t>ATEGORIES</t>
    </r>
  </si>
  <si>
    <r>
      <t>S</t>
    </r>
    <r>
      <rPr>
        <sz val="9"/>
        <rFont val="Times New Roman"/>
        <family val="1"/>
      </rPr>
      <t>KIP</t>
    </r>
  </si>
  <si>
    <t>Yes</t>
  </si>
  <si>
    <t>No</t>
  </si>
  <si>
    <t xml:space="preserve">Now I would like to ask you about any groups in which you are involved. These include formal groups that have meetings, but also informal groups where you happen to meet with someone unannounced. </t>
  </si>
  <si>
    <t>A drama, music, dance or other cultural group?</t>
  </si>
  <si>
    <t>Motorcycles</t>
  </si>
  <si>
    <t>Mobile phones</t>
  </si>
  <si>
    <t>Cow dung or grass (reeds)</t>
  </si>
  <si>
    <t>A volunteer for an NGO?</t>
  </si>
  <si>
    <t>Daily</t>
  </si>
  <si>
    <t>Weekly</t>
  </si>
  <si>
    <t>Monthly</t>
  </si>
  <si>
    <t>Less than monthly</t>
  </si>
  <si>
    <t>A farmers group or cooperative?</t>
  </si>
  <si>
    <r>
      <t>Other (</t>
    </r>
    <r>
      <rPr>
        <sz val="8"/>
        <rFont val="Times New Roman"/>
        <family val="1"/>
      </rPr>
      <t>SPECIFY</t>
    </r>
    <r>
      <rPr>
        <sz val="10"/>
        <rFont val="Times New Roman"/>
        <family val="1"/>
      </rPr>
      <t>): _________________</t>
    </r>
  </si>
  <si>
    <r>
      <t>Q</t>
    </r>
    <r>
      <rPr>
        <sz val="9"/>
        <rFont val="Times New Roman"/>
        <family val="1"/>
      </rPr>
      <t>UESTIONS</t>
    </r>
    <r>
      <rPr>
        <sz val="10"/>
        <rFont val="Times New Roman"/>
        <family val="1"/>
      </rPr>
      <t xml:space="preserve"> A</t>
    </r>
    <r>
      <rPr>
        <sz val="9"/>
        <rFont val="Times New Roman"/>
        <family val="1"/>
      </rPr>
      <t>ND</t>
    </r>
    <r>
      <rPr>
        <sz val="10"/>
        <rFont val="Times New Roman"/>
        <family val="1"/>
      </rPr>
      <t xml:space="preserve"> F</t>
    </r>
    <r>
      <rPr>
        <sz val="9"/>
        <rFont val="Times New Roman"/>
        <family val="1"/>
      </rPr>
      <t>ILTERS</t>
    </r>
  </si>
  <si>
    <t>Subsidized (from government or NGO)</t>
    <phoneticPr fontId="4" type="noConversion"/>
  </si>
  <si>
    <t>Never</t>
  </si>
  <si>
    <t>DWELLING</t>
  </si>
  <si>
    <t>à</t>
  </si>
  <si>
    <t xml:space="preserve"> Unburnt Bricks with cement</t>
  </si>
  <si>
    <t xml:space="preserve"> Unburnt Bricks with mud</t>
  </si>
  <si>
    <t xml:space="preserve"> Wood</t>
  </si>
  <si>
    <t xml:space="preserve"> Mud and poles</t>
  </si>
  <si>
    <t>Concrete/Stone</t>
  </si>
  <si>
    <t>Bricks</t>
  </si>
  <si>
    <t>Cement screed</t>
  </si>
  <si>
    <t>Rammed earth</t>
  </si>
  <si>
    <t xml:space="preserve">Wood </t>
  </si>
  <si>
    <t>Electricity</t>
  </si>
  <si>
    <t>Gas</t>
  </si>
  <si>
    <t>Don't know</t>
  </si>
  <si>
    <t>Owned</t>
    <phoneticPr fontId="4" type="noConversion"/>
  </si>
  <si>
    <t>Uncovered pit latrine</t>
  </si>
  <si>
    <t xml:space="preserve"> Iron sheets</t>
  </si>
  <si>
    <t xml:space="preserve"> Tiles</t>
  </si>
  <si>
    <t xml:space="preserve"> Asbestos</t>
  </si>
  <si>
    <t xml:space="preserve"> Concrete</t>
  </si>
  <si>
    <t xml:space="preserve"> Tins</t>
  </si>
  <si>
    <t xml:space="preserve"> Burnt/stabilized bricks with cement</t>
  </si>
  <si>
    <t>Unprotected spring</t>
  </si>
  <si>
    <t>Squatting (private land)</t>
    <phoneticPr fontId="4" type="noConversion"/>
  </si>
  <si>
    <t>Paraffin (Lantern)</t>
  </si>
  <si>
    <t>Paraffin (Tadooba)</t>
  </si>
  <si>
    <t>Candle</t>
  </si>
  <si>
    <t>Firewood</t>
  </si>
  <si>
    <t xml:space="preserve"> Burnt/stabilized bricks with mud</t>
  </si>
  <si>
    <t>Rented (from government or NGO)</t>
    <phoneticPr fontId="4" type="noConversion"/>
  </si>
  <si>
    <t>Rented (from a private citizen)</t>
    <phoneticPr fontId="4" type="noConversion"/>
  </si>
  <si>
    <t>Subsidized (from a private citizen)</t>
    <phoneticPr fontId="4" type="noConversion"/>
  </si>
  <si>
    <t>Squatting (public land)</t>
    <phoneticPr fontId="4" type="noConversion"/>
  </si>
  <si>
    <t>Protected spring</t>
  </si>
  <si>
    <t xml:space="preserve"> Grass / Papyrus</t>
  </si>
  <si>
    <t xml:space="preserve"> Banana leaves / Fibres </t>
  </si>
  <si>
    <t xml:space="preserve"> Cement Blocks</t>
  </si>
  <si>
    <t xml:space="preserve"> Stone with cement</t>
  </si>
  <si>
    <t>Cow dung</t>
    <phoneticPr fontId="4" type="noConversion"/>
  </si>
  <si>
    <t>Non-relative friend</t>
  </si>
  <si>
    <t>|___|___|</t>
  </si>
  <si>
    <t>What is your relationship to the head of the household?</t>
  </si>
  <si>
    <t>What is your marital status?</t>
  </si>
  <si>
    <t>1. Yes</t>
  </si>
  <si>
    <t>Spouse / partner</t>
  </si>
  <si>
    <t>Son / daughter</t>
  </si>
  <si>
    <t>D. 32.</t>
  </si>
  <si>
    <r>
      <t xml:space="preserve">Did you earn any cash from </t>
    </r>
    <r>
      <rPr>
        <b/>
        <i/>
        <sz val="10"/>
        <rFont val="Times New Roman"/>
        <family val="1"/>
      </rPr>
      <t xml:space="preserve">[say activity] </t>
    </r>
    <r>
      <rPr>
        <sz val="10"/>
        <rFont val="Times New Roman"/>
        <family val="1"/>
      </rPr>
      <t>in the last 7 days apart from the regular salary, if there is one?</t>
    </r>
    <r>
      <rPr>
        <sz val="10"/>
        <rFont val="Times New Roman"/>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</si>
</sst>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00"/>
  </numFmts>
  <fonts count="46" x14ac:knownFonts="1">
    <font>
      <sz val="10"/>
      <name val="Verdana"/>
    </font>
    <font>
      <sz val="11"/>
      <color theme="1"/>
      <name val="Calibri"/>
      <family val="2"/>
      <scheme val="minor"/>
    </font>
    <font>
      <sz val="8"/>
      <name val="Verdana"/>
      <family val="2"/>
    </font>
    <font>
      <sz val="10"/>
      <name val="Arial"/>
      <family val="2"/>
    </font>
    <font>
      <sz val="8"/>
      <name val="Arial"/>
      <family val="2"/>
    </font>
    <font>
      <sz val="10"/>
      <name val="Wingdings"/>
      <charset val="2"/>
    </font>
    <font>
      <b/>
      <sz val="10"/>
      <name val="Times New Roman"/>
      <family val="1"/>
    </font>
    <font>
      <sz val="10"/>
      <name val="Times New Roman"/>
      <family val="1"/>
    </font>
    <font>
      <i/>
      <sz val="10"/>
      <name val="Times New Roman"/>
      <family val="1"/>
    </font>
    <font>
      <b/>
      <i/>
      <sz val="10"/>
      <name val="Times New Roman"/>
      <family val="1"/>
    </font>
    <font>
      <sz val="8"/>
      <name val="Times New Roman"/>
      <family val="1"/>
    </font>
    <font>
      <sz val="9"/>
      <name val="Times New Roman"/>
      <family val="1"/>
    </font>
    <font>
      <b/>
      <u/>
      <sz val="12"/>
      <color indexed="12"/>
      <name val="Times New Roman"/>
      <family val="1"/>
    </font>
    <font>
      <b/>
      <sz val="10"/>
      <color indexed="12"/>
      <name val="Times New Roman"/>
      <family val="1"/>
    </font>
    <font>
      <b/>
      <u/>
      <sz val="12"/>
      <color indexed="12"/>
      <name val="Verdana"/>
      <family val="2"/>
    </font>
    <font>
      <sz val="10"/>
      <name val="Verdana"/>
    </font>
    <font>
      <u/>
      <sz val="12"/>
      <name val="Times New Roman"/>
      <family val="1"/>
    </font>
    <font>
      <u/>
      <sz val="12"/>
      <name val="Verdana"/>
      <family val="2"/>
    </font>
    <font>
      <sz val="7"/>
      <name val="Times New Roman"/>
      <family val="1"/>
    </font>
    <font>
      <sz val="10"/>
      <color indexed="8"/>
      <name val="Arial Narrow"/>
      <family val="2"/>
    </font>
    <font>
      <sz val="9"/>
      <name val="Cambria"/>
      <family val="1"/>
    </font>
    <font>
      <b/>
      <sz val="9"/>
      <name val="Cambria"/>
      <family val="1"/>
    </font>
    <font>
      <sz val="10"/>
      <color indexed="8"/>
      <name val="Times New Roman"/>
      <family val="1"/>
    </font>
    <font>
      <b/>
      <i/>
      <sz val="10"/>
      <color indexed="8"/>
      <name val="Times New Roman"/>
      <family val="1"/>
    </font>
    <font>
      <b/>
      <sz val="10"/>
      <color indexed="10"/>
      <name val="Times New Roman"/>
      <family val="1"/>
    </font>
    <font>
      <b/>
      <sz val="10"/>
      <color indexed="8"/>
      <name val="Times New Roman"/>
      <family val="1"/>
    </font>
    <font>
      <b/>
      <sz val="11"/>
      <name val="Times New Roman"/>
      <family val="1"/>
    </font>
    <font>
      <i/>
      <sz val="10.5"/>
      <name val="Times New Roman"/>
      <family val="1"/>
    </font>
    <font>
      <sz val="10.5"/>
      <name val="Times New Roman"/>
      <family val="1"/>
    </font>
    <font>
      <sz val="10.5"/>
      <color indexed="8"/>
      <name val="Times New Roman"/>
      <family val="1"/>
    </font>
    <font>
      <i/>
      <sz val="10"/>
      <color indexed="8"/>
      <name val="Times New Roman"/>
      <family val="1"/>
    </font>
    <font>
      <sz val="7"/>
      <name val="Arial"/>
      <family val="2"/>
    </font>
    <font>
      <u/>
      <sz val="10"/>
      <name val="Times New Roman"/>
      <family val="1"/>
    </font>
    <font>
      <b/>
      <sz val="9"/>
      <name val="Calibri"/>
      <family val="2"/>
    </font>
    <font>
      <sz val="9"/>
      <name val="Calibri"/>
      <family val="2"/>
    </font>
    <font>
      <u/>
      <sz val="9"/>
      <name val="Cambria"/>
      <family val="1"/>
    </font>
    <font>
      <b/>
      <i/>
      <sz val="9"/>
      <name val="Cambria"/>
      <family val="1"/>
    </font>
    <font>
      <b/>
      <u/>
      <sz val="10"/>
      <name val="Times New Roman"/>
      <family val="1"/>
    </font>
    <font>
      <b/>
      <i/>
      <sz val="9"/>
      <name val="Times New Roman"/>
      <family val="1"/>
    </font>
    <font>
      <b/>
      <sz val="9"/>
      <name val="Times New Roman"/>
      <family val="1"/>
    </font>
    <font>
      <sz val="11"/>
      <color indexed="8"/>
      <name val="Arial Narrow"/>
      <family val="2"/>
    </font>
    <font>
      <u/>
      <sz val="10"/>
      <color indexed="8"/>
      <name val="Times New Roman"/>
      <family val="1"/>
    </font>
    <font>
      <b/>
      <i/>
      <sz val="11"/>
      <color rgb="FF000000"/>
      <name val="Calibri"/>
      <family val="2"/>
      <scheme val="minor"/>
    </font>
    <font>
      <sz val="10"/>
      <color rgb="FF000000"/>
      <name val="Calibri"/>
      <family val="2"/>
      <scheme val="minor"/>
    </font>
    <font>
      <sz val="10"/>
      <color indexed="8"/>
      <name val="Times New Roman"/>
      <family val="1"/>
    </font>
    <font>
      <sz val="10"/>
      <color indexed="10"/>
      <name val="Times New Roman"/>
      <family val="1"/>
    </font>
  </fonts>
  <fills count="4">
    <fill>
      <patternFill patternType="none"/>
    </fill>
    <fill>
      <patternFill patternType="gray125"/>
    </fill>
    <fill>
      <patternFill patternType="solid">
        <fgColor theme="0"/>
        <bgColor indexed="64"/>
      </patternFill>
    </fill>
    <fill>
      <patternFill patternType="lightUp"/>
    </fill>
  </fills>
  <borders count="63">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auto="1"/>
      </top>
      <bottom style="thin">
        <color auto="1"/>
      </bottom>
      <diagonal/>
    </border>
    <border>
      <left style="thin">
        <color rgb="FF000000"/>
      </left>
      <right/>
      <top style="thin">
        <color auto="1"/>
      </top>
      <bottom style="thin">
        <color auto="1"/>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indexed="64"/>
      </bottom>
      <diagonal/>
    </border>
    <border>
      <left/>
      <right/>
      <top style="thin">
        <color rgb="FF000000"/>
      </top>
      <bottom/>
      <diagonal/>
    </border>
    <border>
      <left style="thin">
        <color rgb="FF000000"/>
      </left>
      <right style="thin">
        <color rgb="FF000000"/>
      </right>
      <top/>
      <bottom style="thin">
        <color indexed="64"/>
      </bottom>
      <diagonal/>
    </border>
    <border>
      <left style="thin">
        <color indexed="64"/>
      </left>
      <right style="thin">
        <color indexed="64"/>
      </right>
      <top style="medium">
        <color indexed="64"/>
      </top>
      <bottom/>
      <diagonal/>
    </border>
    <border>
      <left style="thin">
        <color rgb="FF000000"/>
      </left>
      <right/>
      <top style="thin">
        <color rgb="FF000000"/>
      </top>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thin">
        <color indexed="64"/>
      </top>
      <bottom style="thin">
        <color rgb="FF000000"/>
      </bottom>
      <diagonal/>
    </border>
    <border>
      <left/>
      <right style="thin">
        <color rgb="FF000000"/>
      </right>
      <top style="thin">
        <color rgb="FF000000"/>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right style="thin">
        <color rgb="FF000000"/>
      </right>
      <top style="thin">
        <color auto="1"/>
      </top>
      <bottom style="thin">
        <color auto="1"/>
      </bottom>
      <diagonal/>
    </border>
    <border>
      <left/>
      <right/>
      <top style="thin">
        <color indexed="64"/>
      </top>
      <bottom style="thin">
        <color rgb="FF000000"/>
      </bottom>
      <diagonal/>
    </border>
    <border>
      <left/>
      <right/>
      <top style="thin">
        <color rgb="FF000000"/>
      </top>
      <bottom style="thin">
        <color indexed="64"/>
      </bottom>
      <diagonal/>
    </border>
    <border>
      <left/>
      <right style="thin">
        <color rgb="FF000000"/>
      </right>
      <top/>
      <bottom/>
      <diagonal/>
    </border>
    <border>
      <left/>
      <right style="thin">
        <color rgb="FF000000"/>
      </right>
      <top/>
      <bottom style="thin">
        <color indexed="64"/>
      </bottom>
      <diagonal/>
    </border>
    <border>
      <left style="thin">
        <color indexed="64"/>
      </left>
      <right style="thin">
        <color indexed="64"/>
      </right>
      <top style="hair">
        <color indexed="64"/>
      </top>
      <bottom style="thin">
        <color indexed="64"/>
      </bottom>
      <diagonal/>
    </border>
    <border>
      <left style="thin">
        <color rgb="FF000000"/>
      </left>
      <right/>
      <top style="thin">
        <color rgb="FF000000"/>
      </top>
      <bottom style="thin">
        <color indexed="64"/>
      </bottom>
      <diagonal/>
    </border>
    <border>
      <left/>
      <right style="thin">
        <color indexed="64"/>
      </right>
      <top style="thin">
        <color rgb="FF000000"/>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s>
  <cellStyleXfs count="3">
    <xf numFmtId="0" fontId="0" fillId="0" borderId="0"/>
    <xf numFmtId="0" fontId="3" fillId="0" borderId="0"/>
    <xf numFmtId="0" fontId="1" fillId="0" borderId="0"/>
  </cellStyleXfs>
  <cellXfs count="604">
    <xf numFmtId="0" fontId="0" fillId="0" borderId="0" xfId="0"/>
    <xf numFmtId="0" fontId="7" fillId="0" borderId="0" xfId="0" applyFont="1" applyAlignment="1">
      <alignment horizontal="left" vertical="top" wrapText="1"/>
    </xf>
    <xf numFmtId="0" fontId="7" fillId="0" borderId="0" xfId="0" applyFont="1" applyAlignment="1">
      <alignment horizontal="right" vertical="top" wrapText="1"/>
    </xf>
    <xf numFmtId="0" fontId="7" fillId="0" borderId="10" xfId="0" applyFont="1" applyBorder="1" applyAlignment="1">
      <alignment horizontal="left" vertical="top" wrapText="1"/>
    </xf>
    <xf numFmtId="0" fontId="7" fillId="0" borderId="0" xfId="0" applyFont="1"/>
    <xf numFmtId="0" fontId="7" fillId="0" borderId="15" xfId="0" applyFont="1" applyBorder="1" applyAlignment="1">
      <alignment horizontal="left" vertical="top" wrapText="1"/>
    </xf>
    <xf numFmtId="0" fontId="7" fillId="0" borderId="4" xfId="0" applyFont="1" applyBorder="1" applyAlignment="1">
      <alignment horizontal="left" vertical="top" wrapText="1"/>
    </xf>
    <xf numFmtId="0" fontId="7" fillId="0" borderId="1" xfId="0" applyFont="1" applyBorder="1" applyAlignment="1">
      <alignment horizontal="left" vertical="top" wrapText="1"/>
    </xf>
    <xf numFmtId="0" fontId="6" fillId="0" borderId="0" xfId="0" applyFont="1" applyAlignment="1">
      <alignment horizontal="left" vertical="top" wrapText="1"/>
    </xf>
    <xf numFmtId="0" fontId="8" fillId="0" borderId="0" xfId="0" applyFont="1" applyAlignment="1">
      <alignment vertical="top" wrapText="1"/>
    </xf>
    <xf numFmtId="0" fontId="7" fillId="0" borderId="0" xfId="0" applyFont="1" applyAlignment="1">
      <alignment vertical="top" wrapText="1"/>
    </xf>
    <xf numFmtId="0" fontId="7" fillId="0" borderId="4" xfId="0" applyFont="1" applyBorder="1" applyAlignment="1">
      <alignment horizontal="left" vertical="top"/>
    </xf>
    <xf numFmtId="0" fontId="7" fillId="0" borderId="1" xfId="0" applyFont="1" applyBorder="1" applyAlignment="1">
      <alignment horizontal="left" vertical="top"/>
    </xf>
    <xf numFmtId="0" fontId="0" fillId="0" borderId="0" xfId="0" applyAlignment="1">
      <alignment vertical="top"/>
    </xf>
    <xf numFmtId="0" fontId="0" fillId="0" borderId="3" xfId="0" applyBorder="1" applyAlignment="1">
      <alignment vertical="top" wrapText="1"/>
    </xf>
    <xf numFmtId="0" fontId="7" fillId="0" borderId="1" xfId="0" applyFont="1" applyBorder="1" applyAlignment="1">
      <alignment vertical="top"/>
    </xf>
    <xf numFmtId="0" fontId="7" fillId="0" borderId="10" xfId="0" applyFont="1" applyBorder="1" applyAlignment="1">
      <alignment horizontal="left" vertical="top"/>
    </xf>
    <xf numFmtId="164" fontId="7" fillId="0" borderId="3" xfId="0" applyNumberFormat="1" applyFont="1" applyBorder="1" applyAlignment="1">
      <alignment vertical="top"/>
    </xf>
    <xf numFmtId="164" fontId="7" fillId="0" borderId="0" xfId="0" applyNumberFormat="1" applyFont="1" applyAlignment="1">
      <alignment vertical="top"/>
    </xf>
    <xf numFmtId="164" fontId="7" fillId="0" borderId="9" xfId="0" applyNumberFormat="1" applyFont="1" applyBorder="1" applyAlignment="1">
      <alignment vertical="top"/>
    </xf>
    <xf numFmtId="164" fontId="7" fillId="0" borderId="2" xfId="0" applyNumberFormat="1" applyFont="1" applyBorder="1" applyAlignment="1">
      <alignment vertical="top"/>
    </xf>
    <xf numFmtId="0" fontId="7" fillId="0" borderId="2" xfId="0" applyFont="1" applyBorder="1" applyAlignment="1">
      <alignment horizontal="center" vertical="top" wrapText="1"/>
    </xf>
    <xf numFmtId="164" fontId="7" fillId="0" borderId="2" xfId="0" applyNumberFormat="1" applyFont="1" applyBorder="1" applyAlignment="1">
      <alignment horizontal="center" vertical="top"/>
    </xf>
    <xf numFmtId="0" fontId="7" fillId="0" borderId="1" xfId="0" applyFont="1" applyBorder="1" applyAlignment="1">
      <alignment horizontal="center" vertical="top"/>
    </xf>
    <xf numFmtId="0" fontId="7" fillId="0" borderId="5" xfId="0" applyFont="1" applyBorder="1" applyAlignment="1">
      <alignment vertical="top"/>
    </xf>
    <xf numFmtId="164" fontId="7" fillId="0" borderId="5" xfId="0" applyNumberFormat="1" applyFont="1" applyBorder="1" applyAlignment="1">
      <alignment vertical="top"/>
    </xf>
    <xf numFmtId="0" fontId="7" fillId="0" borderId="0" xfId="0" applyFont="1" applyAlignment="1">
      <alignment vertical="top"/>
    </xf>
    <xf numFmtId="0" fontId="7" fillId="0" borderId="3" xfId="0" applyFont="1" applyBorder="1" applyAlignment="1">
      <alignment vertical="top"/>
    </xf>
    <xf numFmtId="0" fontId="7" fillId="0" borderId="4" xfId="0" applyFont="1" applyBorder="1" applyAlignment="1">
      <alignment vertical="top"/>
    </xf>
    <xf numFmtId="164" fontId="7" fillId="0" borderId="8" xfId="0" applyNumberFormat="1" applyFont="1" applyBorder="1" applyAlignment="1">
      <alignment vertical="top"/>
    </xf>
    <xf numFmtId="0" fontId="7" fillId="0" borderId="10" xfId="0" applyFont="1" applyBorder="1" applyAlignment="1">
      <alignment vertical="top"/>
    </xf>
    <xf numFmtId="0" fontId="7" fillId="0" borderId="7" xfId="0" applyFont="1" applyBorder="1" applyAlignment="1">
      <alignment vertical="top"/>
    </xf>
    <xf numFmtId="0" fontId="5" fillId="0" borderId="2" xfId="0" applyFont="1" applyBorder="1" applyAlignment="1">
      <alignment vertical="top"/>
    </xf>
    <xf numFmtId="0" fontId="7" fillId="0" borderId="0" xfId="0" applyFont="1" applyAlignment="1">
      <alignment horizontal="left" vertical="top"/>
    </xf>
    <xf numFmtId="0" fontId="7" fillId="0" borderId="6" xfId="0" applyFont="1" applyBorder="1" applyAlignment="1">
      <alignment vertical="top" wrapText="1"/>
    </xf>
    <xf numFmtId="0" fontId="7" fillId="0" borderId="5" xfId="0" applyFont="1" applyBorder="1" applyAlignment="1">
      <alignment vertical="top" wrapText="1"/>
    </xf>
    <xf numFmtId="0" fontId="7" fillId="0" borderId="1" xfId="0" applyFont="1" applyBorder="1" applyAlignment="1">
      <alignment vertical="top" wrapText="1"/>
    </xf>
    <xf numFmtId="0" fontId="0" fillId="0" borderId="5" xfId="0" applyBorder="1" applyAlignment="1">
      <alignment vertical="top" wrapText="1"/>
    </xf>
    <xf numFmtId="0" fontId="7" fillId="0" borderId="0" xfId="0" applyFont="1" applyAlignment="1">
      <alignment horizontal="center" vertical="top"/>
    </xf>
    <xf numFmtId="0" fontId="7" fillId="0" borderId="7" xfId="0" applyFont="1" applyBorder="1" applyAlignment="1">
      <alignment vertical="top" wrapText="1"/>
    </xf>
    <xf numFmtId="0" fontId="7" fillId="0" borderId="6" xfId="0" applyFont="1" applyBorder="1" applyAlignment="1">
      <alignment horizontal="left" vertical="top" wrapText="1"/>
    </xf>
    <xf numFmtId="0" fontId="13" fillId="0" borderId="0" xfId="0" applyFont="1" applyAlignment="1">
      <alignment horizontal="left" vertical="top" wrapText="1"/>
    </xf>
    <xf numFmtId="0" fontId="7" fillId="0" borderId="1" xfId="0" applyFont="1" applyBorder="1" applyAlignment="1">
      <alignment horizontal="center" vertical="top" wrapText="1"/>
    </xf>
    <xf numFmtId="0" fontId="7" fillId="0" borderId="3" xfId="0" applyFont="1" applyBorder="1" applyAlignment="1">
      <alignment horizontal="center" vertical="top" wrapText="1"/>
    </xf>
    <xf numFmtId="164" fontId="7" fillId="0" borderId="2" xfId="0" applyNumberFormat="1" applyFont="1" applyBorder="1" applyAlignment="1">
      <alignment horizontal="right" vertical="top" wrapText="1"/>
    </xf>
    <xf numFmtId="164" fontId="7" fillId="0" borderId="0" xfId="0" applyNumberFormat="1" applyFont="1" applyAlignment="1">
      <alignment horizontal="right" vertical="top" wrapText="1"/>
    </xf>
    <xf numFmtId="164" fontId="7" fillId="0" borderId="7" xfId="0" applyNumberFormat="1" applyFont="1" applyBorder="1" applyAlignment="1">
      <alignment horizontal="right" vertical="top" wrapText="1"/>
    </xf>
    <xf numFmtId="164" fontId="7" fillId="0" borderId="3" xfId="0" applyNumberFormat="1" applyFont="1" applyBorder="1" applyAlignment="1">
      <alignment horizontal="right" vertical="top" wrapText="1"/>
    </xf>
    <xf numFmtId="164" fontId="7" fillId="0" borderId="0" xfId="0" applyNumberFormat="1" applyFont="1" applyAlignment="1">
      <alignment horizontal="right" vertical="top"/>
    </xf>
    <xf numFmtId="164" fontId="7" fillId="0" borderId="3" xfId="0" applyNumberFormat="1" applyFont="1" applyBorder="1" applyAlignment="1">
      <alignment horizontal="right" vertical="top"/>
    </xf>
    <xf numFmtId="164" fontId="7" fillId="0" borderId="7" xfId="0" applyNumberFormat="1" applyFont="1" applyBorder="1" applyAlignment="1">
      <alignment horizontal="right" vertical="top"/>
    </xf>
    <xf numFmtId="164" fontId="7" fillId="0" borderId="0" xfId="0" applyNumberFormat="1" applyFont="1" applyAlignment="1">
      <alignment horizontal="center" vertical="top"/>
    </xf>
    <xf numFmtId="164" fontId="7" fillId="0" borderId="2" xfId="0" applyNumberFormat="1" applyFont="1" applyBorder="1" applyAlignment="1">
      <alignment horizontal="right" vertical="top"/>
    </xf>
    <xf numFmtId="0" fontId="7" fillId="0" borderId="2" xfId="0" applyFont="1" applyBorder="1" applyAlignment="1">
      <alignment vertical="top"/>
    </xf>
    <xf numFmtId="164" fontId="7" fillId="0" borderId="8" xfId="0" applyNumberFormat="1" applyFont="1" applyBorder="1" applyAlignment="1">
      <alignment horizontal="right" vertical="top" wrapText="1"/>
    </xf>
    <xf numFmtId="0" fontId="5" fillId="0" borderId="2" xfId="0" applyFont="1" applyBorder="1" applyAlignment="1">
      <alignment horizontal="left" vertical="top"/>
    </xf>
    <xf numFmtId="0" fontId="7" fillId="0" borderId="2" xfId="0" applyFont="1" applyBorder="1" applyAlignment="1">
      <alignment horizontal="center" vertical="top"/>
    </xf>
    <xf numFmtId="0" fontId="7" fillId="0" borderId="3" xfId="0" applyFont="1" applyBorder="1" applyAlignment="1">
      <alignment horizontal="center" vertical="top"/>
    </xf>
    <xf numFmtId="0" fontId="17" fillId="0" borderId="0" xfId="0" applyFont="1" applyAlignment="1">
      <alignment vertical="top"/>
    </xf>
    <xf numFmtId="0" fontId="19" fillId="0" borderId="0" xfId="0" applyFont="1" applyAlignment="1">
      <alignment horizontal="left" vertical="top" wrapText="1"/>
    </xf>
    <xf numFmtId="0" fontId="5" fillId="0" borderId="0" xfId="0" applyFont="1" applyAlignment="1">
      <alignment vertical="top"/>
    </xf>
    <xf numFmtId="164" fontId="0" fillId="0" borderId="0" xfId="0" applyNumberFormat="1"/>
    <xf numFmtId="0" fontId="22" fillId="0" borderId="6" xfId="0" applyFont="1" applyBorder="1" applyAlignment="1">
      <alignment horizontal="left" vertical="top" wrapText="1"/>
    </xf>
    <xf numFmtId="0" fontId="22" fillId="0" borderId="11" xfId="0" applyFont="1" applyBorder="1" applyAlignment="1">
      <alignment horizontal="left" vertical="top" wrapText="1"/>
    </xf>
    <xf numFmtId="0" fontId="22" fillId="0" borderId="12" xfId="0" applyFont="1" applyBorder="1" applyAlignment="1">
      <alignment horizontal="left" vertical="top" wrapText="1"/>
    </xf>
    <xf numFmtId="0" fontId="22" fillId="0" borderId="14" xfId="0" applyFont="1" applyBorder="1" applyAlignment="1">
      <alignment horizontal="left" vertical="top" wrapText="1"/>
    </xf>
    <xf numFmtId="0" fontId="22" fillId="0" borderId="12" xfId="0" applyFont="1" applyBorder="1"/>
    <xf numFmtId="0" fontId="24" fillId="0" borderId="12" xfId="0" applyFont="1" applyBorder="1" applyAlignment="1">
      <alignment horizontal="left" vertical="top" wrapText="1"/>
    </xf>
    <xf numFmtId="0" fontId="22" fillId="0" borderId="11" xfId="0" applyFont="1" applyBorder="1"/>
    <xf numFmtId="164" fontId="7" fillId="0" borderId="9" xfId="0" applyNumberFormat="1" applyFont="1" applyBorder="1" applyAlignment="1">
      <alignment horizontal="right" vertical="top" wrapText="1"/>
    </xf>
    <xf numFmtId="0" fontId="15" fillId="0" borderId="0" xfId="0" applyFont="1"/>
    <xf numFmtId="0" fontId="22" fillId="0" borderId="0" xfId="0" applyFont="1" applyAlignment="1">
      <alignment horizontal="left" vertical="top"/>
    </xf>
    <xf numFmtId="0" fontId="0" fillId="0" borderId="8" xfId="0" applyBorder="1"/>
    <xf numFmtId="0" fontId="0" fillId="0" borderId="10" xfId="0" applyBorder="1"/>
    <xf numFmtId="0" fontId="0" fillId="0" borderId="9" xfId="0" applyBorder="1"/>
    <xf numFmtId="0" fontId="0" fillId="0" borderId="4" xfId="0" applyBorder="1"/>
    <xf numFmtId="0" fontId="5" fillId="0" borderId="9" xfId="0" applyFont="1" applyBorder="1" applyAlignment="1">
      <alignment vertical="top"/>
    </xf>
    <xf numFmtId="0" fontId="0" fillId="0" borderId="2" xfId="0" applyBorder="1"/>
    <xf numFmtId="0" fontId="0" fillId="0" borderId="1" xfId="0" applyBorder="1"/>
    <xf numFmtId="0" fontId="5" fillId="0" borderId="8" xfId="0" applyFont="1" applyBorder="1" applyAlignment="1">
      <alignment vertical="top"/>
    </xf>
    <xf numFmtId="164" fontId="7" fillId="0" borderId="26" xfId="0" applyNumberFormat="1" applyFont="1" applyBorder="1" applyAlignment="1">
      <alignment horizontal="right" vertical="top" wrapText="1"/>
    </xf>
    <xf numFmtId="0" fontId="0" fillId="0" borderId="5" xfId="0" applyBorder="1"/>
    <xf numFmtId="0" fontId="7" fillId="0" borderId="27" xfId="0" applyFont="1" applyBorder="1" applyAlignment="1">
      <alignment vertical="center" wrapText="1"/>
    </xf>
    <xf numFmtId="0" fontId="7" fillId="0" borderId="28" xfId="0" applyFont="1" applyBorder="1" applyAlignment="1">
      <alignment vertical="center" wrapText="1"/>
    </xf>
    <xf numFmtId="0" fontId="0" fillId="0" borderId="7" xfId="0" applyBorder="1"/>
    <xf numFmtId="0" fontId="0" fillId="0" borderId="3" xfId="0" applyBorder="1"/>
    <xf numFmtId="0" fontId="7" fillId="0" borderId="10" xfId="0" applyFont="1" applyBorder="1" applyAlignment="1">
      <alignment vertical="center" wrapText="1"/>
    </xf>
    <xf numFmtId="0" fontId="7" fillId="0" borderId="8" xfId="0" applyFont="1" applyBorder="1" applyAlignment="1">
      <alignment vertical="center" wrapText="1"/>
    </xf>
    <xf numFmtId="0" fontId="0" fillId="0" borderId="13" xfId="0" applyBorder="1"/>
    <xf numFmtId="0" fontId="7" fillId="0" borderId="4" xfId="0" applyFont="1" applyBorder="1" applyAlignment="1">
      <alignment horizontal="left" vertical="center" wrapText="1"/>
    </xf>
    <xf numFmtId="0" fontId="7" fillId="0" borderId="1" xfId="0" applyFont="1" applyBorder="1" applyAlignment="1">
      <alignment horizontal="left" vertical="center" wrapText="1"/>
    </xf>
    <xf numFmtId="164" fontId="7" fillId="0" borderId="3" xfId="0" applyNumberFormat="1" applyFont="1" applyBorder="1" applyAlignment="1">
      <alignment horizontal="center" vertical="top"/>
    </xf>
    <xf numFmtId="0" fontId="4" fillId="0" borderId="0" xfId="0" applyFont="1" applyAlignment="1">
      <alignment vertical="center" wrapText="1"/>
    </xf>
    <xf numFmtId="0" fontId="7" fillId="0" borderId="8" xfId="0" applyFont="1" applyBorder="1" applyAlignment="1">
      <alignment horizontal="center" vertical="top"/>
    </xf>
    <xf numFmtId="0" fontId="7" fillId="0" borderId="7" xfId="0" applyFont="1" applyBorder="1" applyAlignment="1">
      <alignment horizontal="center" vertical="top"/>
    </xf>
    <xf numFmtId="0" fontId="7" fillId="0" borderId="9" xfId="0" applyFont="1" applyBorder="1" applyAlignment="1">
      <alignment horizontal="center" vertical="top"/>
    </xf>
    <xf numFmtId="164" fontId="7" fillId="0" borderId="3" xfId="0" applyNumberFormat="1" applyFont="1" applyBorder="1"/>
    <xf numFmtId="0" fontId="0" fillId="0" borderId="0" xfId="0" applyAlignment="1">
      <alignment horizontal="left"/>
    </xf>
    <xf numFmtId="0" fontId="22" fillId="0" borderId="4" xfId="0" applyFont="1" applyBorder="1"/>
    <xf numFmtId="0" fontId="17" fillId="0" borderId="0" xfId="0" applyFont="1" applyAlignment="1">
      <alignment horizontal="left" vertical="top"/>
    </xf>
    <xf numFmtId="164" fontId="7" fillId="0" borderId="0" xfId="0" applyNumberFormat="1" applyFont="1" applyAlignment="1">
      <alignment horizontal="left"/>
    </xf>
    <xf numFmtId="0" fontId="7" fillId="0" borderId="0" xfId="0" applyFont="1" applyAlignment="1">
      <alignment horizontal="left"/>
    </xf>
    <xf numFmtId="0" fontId="7" fillId="0" borderId="9" xfId="0" applyFont="1" applyBorder="1" applyAlignment="1">
      <alignment horizontal="center" vertical="top" wrapText="1"/>
    </xf>
    <xf numFmtId="164" fontId="7" fillId="0" borderId="9" xfId="0" applyNumberFormat="1" applyFont="1" applyBorder="1" applyAlignment="1">
      <alignment horizontal="center" vertical="top"/>
    </xf>
    <xf numFmtId="0" fontId="7" fillId="0" borderId="4" xfId="0" applyFont="1" applyBorder="1" applyAlignment="1">
      <alignment horizontal="center" vertical="top"/>
    </xf>
    <xf numFmtId="0" fontId="7" fillId="0" borderId="12" xfId="0" applyFont="1" applyBorder="1" applyAlignment="1">
      <alignment vertical="top"/>
    </xf>
    <xf numFmtId="0" fontId="7" fillId="0" borderId="14" xfId="0" applyFont="1" applyBorder="1" applyAlignment="1">
      <alignment vertical="top"/>
    </xf>
    <xf numFmtId="0" fontId="7" fillId="0" borderId="9" xfId="0" applyFont="1" applyBorder="1" applyAlignment="1">
      <alignment vertical="center" wrapText="1"/>
    </xf>
    <xf numFmtId="0" fontId="7" fillId="0" borderId="2" xfId="0" applyFont="1" applyBorder="1" applyAlignment="1">
      <alignment vertical="center" wrapText="1"/>
    </xf>
    <xf numFmtId="0" fontId="22" fillId="0" borderId="3" xfId="0" applyFont="1" applyBorder="1" applyAlignment="1">
      <alignment horizontal="left" vertical="top"/>
    </xf>
    <xf numFmtId="0" fontId="0" fillId="0" borderId="12" xfId="0" applyBorder="1"/>
    <xf numFmtId="0" fontId="0" fillId="0" borderId="14" xfId="0" applyBorder="1"/>
    <xf numFmtId="0" fontId="7" fillId="0" borderId="4" xfId="0" applyFont="1" applyBorder="1" applyAlignment="1">
      <alignment vertical="center" wrapText="1"/>
    </xf>
    <xf numFmtId="0" fontId="7" fillId="0" borderId="0" xfId="0" applyFont="1" applyAlignment="1">
      <alignment vertical="center" wrapText="1"/>
    </xf>
    <xf numFmtId="0" fontId="8" fillId="0" borderId="15" xfId="0" applyFont="1" applyBorder="1" applyAlignment="1">
      <alignment horizontal="center" vertical="center" wrapText="1"/>
    </xf>
    <xf numFmtId="0" fontId="4" fillId="0" borderId="15" xfId="0" applyFont="1" applyBorder="1" applyAlignment="1">
      <alignment vertical="center" wrapText="1"/>
    </xf>
    <xf numFmtId="0" fontId="7" fillId="0" borderId="15" xfId="0" applyFont="1" applyBorder="1" applyAlignment="1">
      <alignment vertical="center" wrapText="1"/>
    </xf>
    <xf numFmtId="0" fontId="22" fillId="0" borderId="10" xfId="0" applyFont="1" applyBorder="1" applyAlignment="1">
      <alignment horizontal="left" vertical="top" wrapText="1"/>
    </xf>
    <xf numFmtId="0" fontId="0" fillId="0" borderId="6" xfId="0" applyBorder="1"/>
    <xf numFmtId="0" fontId="9" fillId="0" borderId="0" xfId="0" applyFont="1" applyAlignment="1">
      <alignment vertical="center" wrapText="1"/>
    </xf>
    <xf numFmtId="0" fontId="12" fillId="0" borderId="0" xfId="0" applyFont="1" applyAlignment="1">
      <alignment vertical="top" wrapText="1"/>
    </xf>
    <xf numFmtId="164" fontId="7" fillId="0" borderId="0" xfId="0" applyNumberFormat="1" applyFont="1" applyAlignment="1">
      <alignment vertical="center" wrapText="1"/>
    </xf>
    <xf numFmtId="164" fontId="7" fillId="0" borderId="7" xfId="0" applyNumberFormat="1" applyFont="1" applyBorder="1" applyAlignment="1">
      <alignment horizontal="right" vertical="center" wrapText="1"/>
    </xf>
    <xf numFmtId="164" fontId="7" fillId="0" borderId="9" xfId="0" applyNumberFormat="1" applyFont="1" applyBorder="1" applyAlignment="1">
      <alignment horizontal="right" vertical="top"/>
    </xf>
    <xf numFmtId="164" fontId="7" fillId="0" borderId="8" xfId="0" applyNumberFormat="1" applyFont="1" applyBorder="1" applyAlignment="1">
      <alignment horizontal="right" vertical="top"/>
    </xf>
    <xf numFmtId="0" fontId="20" fillId="0" borderId="15" xfId="0" applyFont="1" applyBorder="1" applyAlignment="1">
      <alignment vertical="center" wrapText="1"/>
    </xf>
    <xf numFmtId="0" fontId="20" fillId="0" borderId="15" xfId="0" applyFont="1" applyBorder="1" applyAlignment="1">
      <alignment horizontal="center" vertical="center" wrapText="1"/>
    </xf>
    <xf numFmtId="0" fontId="20" fillId="0" borderId="15" xfId="0" applyFont="1" applyBorder="1" applyAlignment="1">
      <alignment horizontal="left" vertical="center" wrapText="1" indent="2"/>
    </xf>
    <xf numFmtId="0" fontId="20" fillId="0" borderId="15" xfId="0" applyFont="1" applyBorder="1" applyAlignment="1">
      <alignment vertical="top" wrapText="1"/>
    </xf>
    <xf numFmtId="0" fontId="20" fillId="0" borderId="15" xfId="0" applyFont="1" applyBorder="1" applyAlignment="1">
      <alignment horizontal="left" vertical="top" wrapText="1"/>
    </xf>
    <xf numFmtId="0" fontId="11" fillId="0" borderId="0" xfId="0" applyFont="1" applyAlignment="1">
      <alignment vertical="center" wrapText="1"/>
    </xf>
    <xf numFmtId="0" fontId="7" fillId="0" borderId="8" xfId="0" applyFont="1" applyBorder="1"/>
    <xf numFmtId="164" fontId="7" fillId="0" borderId="0" xfId="0" applyNumberFormat="1" applyFont="1" applyAlignment="1">
      <alignment horizontal="left" vertical="top"/>
    </xf>
    <xf numFmtId="0" fontId="7" fillId="0" borderId="3" xfId="0" applyFont="1" applyBorder="1" applyAlignment="1">
      <alignment vertical="center" wrapText="1"/>
    </xf>
    <xf numFmtId="0" fontId="20" fillId="2" borderId="10" xfId="0" applyFont="1" applyFill="1" applyBorder="1" applyAlignment="1">
      <alignment vertical="center" wrapText="1"/>
    </xf>
    <xf numFmtId="0" fontId="0" fillId="0" borderId="11" xfId="0" applyBorder="1"/>
    <xf numFmtId="0" fontId="20" fillId="2" borderId="11" xfId="0" applyFont="1" applyFill="1" applyBorder="1" applyAlignment="1">
      <alignment vertical="center" wrapText="1"/>
    </xf>
    <xf numFmtId="0" fontId="20" fillId="2" borderId="14" xfId="0" applyFont="1" applyFill="1" applyBorder="1" applyAlignment="1">
      <alignment vertical="center" wrapText="1"/>
    </xf>
    <xf numFmtId="0" fontId="20" fillId="2" borderId="4" xfId="0" applyFont="1" applyFill="1" applyBorder="1" applyAlignment="1">
      <alignment vertical="center" wrapText="1"/>
    </xf>
    <xf numFmtId="0" fontId="7" fillId="0" borderId="11" xfId="0" applyFont="1" applyBorder="1" applyAlignment="1">
      <alignment vertical="top" wrapText="1"/>
    </xf>
    <xf numFmtId="0" fontId="7" fillId="0" borderId="14" xfId="0" applyFont="1" applyBorder="1" applyAlignment="1">
      <alignment vertical="center" wrapText="1"/>
    </xf>
    <xf numFmtId="0" fontId="7" fillId="0" borderId="9" xfId="0" applyFont="1" applyBorder="1" applyAlignment="1">
      <alignment horizontal="left" vertical="center" wrapText="1"/>
    </xf>
    <xf numFmtId="0" fontId="7" fillId="0" borderId="15" xfId="0" applyFont="1" applyBorder="1" applyAlignment="1">
      <alignment vertical="top" wrapText="1"/>
    </xf>
    <xf numFmtId="0" fontId="7" fillId="0" borderId="1" xfId="0" applyFont="1" applyBorder="1" applyAlignment="1">
      <alignment vertical="center" wrapText="1"/>
    </xf>
    <xf numFmtId="0" fontId="6" fillId="0" borderId="0" xfId="0" applyFont="1" applyAlignment="1">
      <alignment vertical="center" wrapText="1"/>
    </xf>
    <xf numFmtId="0" fontId="6" fillId="0" borderId="12" xfId="0" applyFont="1" applyBorder="1" applyAlignment="1">
      <alignment vertical="top" wrapText="1"/>
    </xf>
    <xf numFmtId="0" fontId="7" fillId="0" borderId="10" xfId="0" applyFont="1" applyBorder="1" applyAlignment="1">
      <alignment vertical="top" wrapText="1"/>
    </xf>
    <xf numFmtId="164" fontId="0" fillId="0" borderId="0" xfId="0" applyNumberFormat="1" applyAlignment="1">
      <alignment horizontal="left" vertical="top"/>
    </xf>
    <xf numFmtId="0" fontId="7" fillId="0" borderId="13" xfId="0" applyFont="1" applyBorder="1" applyAlignment="1">
      <alignment vertical="top" wrapText="1"/>
    </xf>
    <xf numFmtId="164" fontId="7" fillId="0" borderId="8" xfId="0" applyNumberFormat="1" applyFont="1" applyBorder="1" applyAlignment="1">
      <alignment vertical="top" wrapText="1"/>
    </xf>
    <xf numFmtId="164" fontId="7" fillId="0" borderId="9" xfId="0" applyNumberFormat="1" applyFont="1" applyBorder="1" applyAlignment="1">
      <alignment vertical="top" wrapText="1"/>
    </xf>
    <xf numFmtId="0" fontId="7" fillId="0" borderId="4" xfId="0" applyFont="1" applyBorder="1" applyAlignment="1">
      <alignment vertical="top" wrapText="1"/>
    </xf>
    <xf numFmtId="0" fontId="6" fillId="0" borderId="9" xfId="0" applyFont="1" applyBorder="1" applyAlignment="1">
      <alignment vertical="center" wrapText="1"/>
    </xf>
    <xf numFmtId="0" fontId="7" fillId="0" borderId="9" xfId="0" applyFont="1" applyBorder="1"/>
    <xf numFmtId="0" fontId="6" fillId="0" borderId="0" xfId="0" applyFont="1" applyAlignment="1">
      <alignment horizontal="left" vertical="center" wrapText="1"/>
    </xf>
    <xf numFmtId="0" fontId="22" fillId="0" borderId="1" xfId="0" applyFont="1" applyBorder="1" applyAlignment="1">
      <alignment horizontal="left" vertical="top" wrapText="1"/>
    </xf>
    <xf numFmtId="0" fontId="0" fillId="0" borderId="7" xfId="0" applyBorder="1" applyAlignment="1">
      <alignment horizontal="left"/>
    </xf>
    <xf numFmtId="0" fontId="7" fillId="0" borderId="7" xfId="0" applyFont="1" applyBorder="1" applyAlignment="1">
      <alignment horizontal="left"/>
    </xf>
    <xf numFmtId="0" fontId="7" fillId="0" borderId="9" xfId="0" applyFont="1" applyBorder="1" applyAlignment="1">
      <alignment horizontal="left" vertical="top" wrapText="1"/>
    </xf>
    <xf numFmtId="0" fontId="7" fillId="0" borderId="9" xfId="0" applyFont="1" applyBorder="1" applyAlignment="1">
      <alignment vertical="top"/>
    </xf>
    <xf numFmtId="0" fontId="5" fillId="0" borderId="9" xfId="0" applyFont="1" applyBorder="1" applyAlignment="1">
      <alignment horizontal="left" vertical="top"/>
    </xf>
    <xf numFmtId="0" fontId="7" fillId="0" borderId="5" xfId="0" applyFont="1" applyBorder="1" applyAlignment="1">
      <alignment horizontal="left" vertical="center" wrapText="1"/>
    </xf>
    <xf numFmtId="0" fontId="7" fillId="0" borderId="2" xfId="0" applyFont="1" applyBorder="1" applyAlignment="1">
      <alignment vertical="top" wrapText="1"/>
    </xf>
    <xf numFmtId="0" fontId="7" fillId="0" borderId="14" xfId="0" applyFont="1" applyBorder="1" applyAlignment="1">
      <alignment horizontal="left" vertical="top" wrapText="1"/>
    </xf>
    <xf numFmtId="0" fontId="7" fillId="0" borderId="12" xfId="0" applyFont="1" applyBorder="1" applyAlignment="1">
      <alignment vertical="top" wrapText="1"/>
    </xf>
    <xf numFmtId="0" fontId="7" fillId="0" borderId="12" xfId="0" applyFont="1" applyBorder="1" applyAlignment="1">
      <alignment horizontal="left" vertical="top" wrapText="1"/>
    </xf>
    <xf numFmtId="0" fontId="7" fillId="0" borderId="6" xfId="0" applyFont="1" applyBorder="1" applyAlignment="1">
      <alignment horizontal="left" vertical="center" wrapText="1"/>
    </xf>
    <xf numFmtId="164" fontId="7" fillId="0" borderId="7" xfId="0" applyNumberFormat="1" applyFont="1" applyBorder="1" applyAlignment="1">
      <alignment vertical="top"/>
    </xf>
    <xf numFmtId="0" fontId="7" fillId="0" borderId="15" xfId="0" applyFont="1" applyBorder="1" applyAlignment="1">
      <alignment horizontal="left" vertical="top" wrapText="1" indent="3"/>
    </xf>
    <xf numFmtId="164" fontId="9" fillId="0" borderId="15" xfId="0" applyNumberFormat="1" applyFont="1" applyBorder="1" applyAlignment="1">
      <alignment horizontal="center" vertical="center" wrapText="1"/>
    </xf>
    <xf numFmtId="164" fontId="7" fillId="0" borderId="15" xfId="0" applyNumberFormat="1" applyFont="1" applyBorder="1" applyAlignment="1">
      <alignment vertical="top"/>
    </xf>
    <xf numFmtId="0" fontId="7" fillId="0" borderId="15" xfId="0" applyFont="1" applyBorder="1" applyAlignment="1">
      <alignment horizontal="center" vertical="center"/>
    </xf>
    <xf numFmtId="0" fontId="6" fillId="0" borderId="2" xfId="0" applyFont="1" applyBorder="1" applyAlignment="1">
      <alignment vertical="center" wrapText="1"/>
    </xf>
    <xf numFmtId="0" fontId="4" fillId="0" borderId="15" xfId="0" applyFont="1" applyBorder="1" applyAlignment="1">
      <alignment horizontal="center" vertical="center" wrapText="1"/>
    </xf>
    <xf numFmtId="0" fontId="12" fillId="0" borderId="0" xfId="0" applyFont="1" applyAlignment="1">
      <alignment horizontal="center" vertical="top" wrapText="1"/>
    </xf>
    <xf numFmtId="0" fontId="9" fillId="0" borderId="15" xfId="0" applyFont="1" applyBorder="1" applyAlignment="1">
      <alignment horizontal="center" vertical="center" wrapText="1"/>
    </xf>
    <xf numFmtId="0" fontId="11" fillId="0" borderId="0" xfId="0" applyFont="1" applyAlignment="1">
      <alignment vertical="top" wrapText="1"/>
    </xf>
    <xf numFmtId="164" fontId="0" fillId="0" borderId="1" xfId="0" applyNumberFormat="1" applyBorder="1" applyAlignment="1">
      <alignment horizontal="left" vertical="top" wrapText="1"/>
    </xf>
    <xf numFmtId="0" fontId="7" fillId="0" borderId="11" xfId="0" applyFont="1" applyBorder="1" applyAlignment="1">
      <alignment horizontal="left" vertical="top" wrapText="1"/>
    </xf>
    <xf numFmtId="0" fontId="7" fillId="0" borderId="7" xfId="0" applyFont="1" applyBorder="1" applyAlignment="1">
      <alignment horizontal="left" vertical="top" wrapText="1"/>
    </xf>
    <xf numFmtId="164" fontId="7" fillId="0" borderId="15" xfId="0" applyNumberFormat="1" applyFont="1" applyBorder="1" applyAlignment="1">
      <alignment horizontal="right" vertical="top"/>
    </xf>
    <xf numFmtId="164" fontId="7" fillId="0" borderId="13" xfId="0" applyNumberFormat="1" applyFont="1" applyBorder="1" applyAlignment="1">
      <alignment horizontal="right" vertical="top"/>
    </xf>
    <xf numFmtId="164" fontId="7" fillId="0" borderId="6" xfId="0" applyNumberFormat="1" applyFont="1" applyBorder="1" applyAlignment="1">
      <alignment horizontal="left" vertical="top"/>
    </xf>
    <xf numFmtId="164" fontId="7" fillId="0" borderId="10" xfId="0" applyNumberFormat="1" applyFont="1" applyBorder="1" applyAlignment="1">
      <alignment horizontal="left" vertical="top"/>
    </xf>
    <xf numFmtId="164" fontId="7" fillId="0" borderId="4" xfId="0" applyNumberFormat="1" applyFont="1" applyBorder="1" applyAlignment="1">
      <alignment horizontal="left" vertical="top"/>
    </xf>
    <xf numFmtId="164" fontId="0" fillId="0" borderId="4" xfId="0" applyNumberFormat="1" applyBorder="1" applyAlignment="1">
      <alignment horizontal="left" vertical="top" wrapText="1"/>
    </xf>
    <xf numFmtId="164" fontId="7" fillId="0" borderId="1" xfId="0" applyNumberFormat="1" applyFont="1" applyBorder="1" applyAlignment="1">
      <alignment horizontal="left" vertical="top"/>
    </xf>
    <xf numFmtId="164" fontId="20" fillId="0" borderId="8" xfId="0" applyNumberFormat="1" applyFont="1" applyBorder="1" applyAlignment="1">
      <alignment horizontal="left" vertical="top" wrapText="1"/>
    </xf>
    <xf numFmtId="164" fontId="7" fillId="0" borderId="13" xfId="0" applyNumberFormat="1" applyFont="1" applyBorder="1" applyAlignment="1">
      <alignment horizontal="center" vertical="top" wrapText="1"/>
    </xf>
    <xf numFmtId="164" fontId="7" fillId="0" borderId="13" xfId="0" applyNumberFormat="1" applyFont="1" applyBorder="1" applyAlignment="1">
      <alignment horizontal="center" vertical="top"/>
    </xf>
    <xf numFmtId="0" fontId="7" fillId="0" borderId="13" xfId="0" applyFont="1" applyBorder="1" applyAlignment="1">
      <alignment vertical="top"/>
    </xf>
    <xf numFmtId="164" fontId="7" fillId="0" borderId="6" xfId="0" applyNumberFormat="1" applyFont="1" applyBorder="1" applyAlignment="1">
      <alignment horizontal="left" vertical="top" wrapText="1"/>
    </xf>
    <xf numFmtId="164" fontId="7" fillId="0" borderId="5" xfId="0" applyNumberFormat="1" applyFont="1" applyBorder="1" applyAlignment="1">
      <alignment horizontal="left" vertical="top" wrapText="1"/>
    </xf>
    <xf numFmtId="0" fontId="6" fillId="0" borderId="0" xfId="1" applyFont="1" applyAlignment="1">
      <alignment horizontal="left" vertical="top" wrapText="1"/>
    </xf>
    <xf numFmtId="0" fontId="7" fillId="0" borderId="8" xfId="0" applyFont="1" applyBorder="1" applyAlignment="1">
      <alignment vertical="top"/>
    </xf>
    <xf numFmtId="164" fontId="7" fillId="0" borderId="11" xfId="0" applyNumberFormat="1" applyFont="1" applyBorder="1" applyAlignment="1">
      <alignment horizontal="left" vertical="center" wrapText="1"/>
    </xf>
    <xf numFmtId="0" fontId="7" fillId="0" borderId="13" xfId="0" applyFont="1" applyBorder="1" applyAlignment="1">
      <alignment horizontal="center" vertical="top" wrapText="1"/>
    </xf>
    <xf numFmtId="0" fontId="7" fillId="0" borderId="8" xfId="0" applyFont="1" applyBorder="1" applyAlignment="1">
      <alignment horizontal="center" vertical="top" wrapText="1"/>
    </xf>
    <xf numFmtId="164" fontId="7" fillId="0" borderId="10" xfId="0" applyNumberFormat="1" applyFont="1" applyBorder="1" applyAlignment="1">
      <alignment vertical="top" wrapText="1"/>
    </xf>
    <xf numFmtId="0" fontId="7" fillId="0" borderId="5" xfId="0" applyFont="1" applyBorder="1" applyAlignment="1">
      <alignment horizontal="center" vertical="top" wrapText="1"/>
    </xf>
    <xf numFmtId="0" fontId="7" fillId="0" borderId="7" xfId="0" applyFont="1" applyBorder="1" applyAlignment="1">
      <alignment horizontal="center" vertical="top" wrapText="1"/>
    </xf>
    <xf numFmtId="0" fontId="7" fillId="0" borderId="8" xfId="0" applyFont="1" applyBorder="1" applyAlignment="1">
      <alignment vertical="top" wrapText="1"/>
    </xf>
    <xf numFmtId="0" fontId="7" fillId="0" borderId="9" xfId="0" applyFont="1" applyBorder="1" applyAlignment="1">
      <alignment vertical="top" wrapText="1"/>
    </xf>
    <xf numFmtId="0" fontId="7" fillId="0" borderId="15" xfId="0" applyFont="1" applyBorder="1" applyAlignment="1">
      <alignment horizontal="left" vertical="center" wrapText="1"/>
    </xf>
    <xf numFmtId="0" fontId="11" fillId="0" borderId="17" xfId="0" applyFont="1" applyBorder="1" applyAlignment="1">
      <alignment horizontal="right" vertical="top" wrapText="1"/>
    </xf>
    <xf numFmtId="0" fontId="11" fillId="0" borderId="20" xfId="0" applyFont="1" applyBorder="1" applyAlignment="1">
      <alignment horizontal="right" vertical="top" wrapText="1"/>
    </xf>
    <xf numFmtId="0" fontId="11" fillId="0" borderId="21" xfId="0" applyFont="1" applyBorder="1" applyAlignment="1">
      <alignment horizontal="right" vertical="top" wrapText="1"/>
    </xf>
    <xf numFmtId="0" fontId="7" fillId="0" borderId="41" xfId="0" applyFont="1" applyBorder="1" applyAlignment="1">
      <alignment vertical="top"/>
    </xf>
    <xf numFmtId="0" fontId="7" fillId="0" borderId="37" xfId="0" applyFont="1" applyBorder="1" applyAlignment="1">
      <alignment vertical="top"/>
    </xf>
    <xf numFmtId="0" fontId="7" fillId="0" borderId="39" xfId="0" applyFont="1" applyBorder="1" applyAlignment="1">
      <alignment vertical="top"/>
    </xf>
    <xf numFmtId="164" fontId="7" fillId="0" borderId="4" xfId="0" applyNumberFormat="1" applyFont="1" applyBorder="1" applyAlignment="1">
      <alignment horizontal="left" vertical="top" wrapText="1"/>
    </xf>
    <xf numFmtId="164" fontId="7" fillId="0" borderId="1" xfId="0" applyNumberFormat="1" applyFont="1" applyBorder="1" applyAlignment="1">
      <alignment horizontal="left" vertical="top" wrapText="1"/>
    </xf>
    <xf numFmtId="164" fontId="7" fillId="0" borderId="9" xfId="0" applyNumberFormat="1" applyFont="1" applyBorder="1" applyAlignment="1">
      <alignment horizontal="left" vertical="top" wrapText="1"/>
    </xf>
    <xf numFmtId="164" fontId="7" fillId="0" borderId="2" xfId="0" applyNumberFormat="1" applyFont="1" applyBorder="1" applyAlignment="1">
      <alignment horizontal="left" vertical="top" wrapText="1"/>
    </xf>
    <xf numFmtId="0" fontId="11" fillId="0" borderId="0" xfId="0" applyFont="1" applyAlignment="1">
      <alignment horizontal="left" vertical="top" wrapText="1"/>
    </xf>
    <xf numFmtId="0" fontId="33" fillId="0" borderId="0" xfId="0" applyFont="1" applyAlignment="1">
      <alignment horizontal="left" vertical="top" wrapText="1"/>
    </xf>
    <xf numFmtId="0" fontId="0" fillId="0" borderId="0" xfId="0" applyAlignment="1">
      <alignment horizontal="right"/>
    </xf>
    <xf numFmtId="0" fontId="15" fillId="0" borderId="0" xfId="0" applyFont="1" applyAlignment="1">
      <alignment horizontal="right"/>
    </xf>
    <xf numFmtId="0" fontId="7" fillId="0" borderId="0" xfId="0" applyFont="1" applyAlignment="1">
      <alignment horizontal="right"/>
    </xf>
    <xf numFmtId="0" fontId="7" fillId="0" borderId="31" xfId="0" applyFont="1" applyBorder="1" applyAlignment="1">
      <alignment horizontal="right" vertical="top" wrapText="1"/>
    </xf>
    <xf numFmtId="0" fontId="34" fillId="0" borderId="31" xfId="0" applyFont="1" applyBorder="1" applyAlignment="1">
      <alignment horizontal="right" vertical="center" wrapText="1"/>
    </xf>
    <xf numFmtId="0" fontId="7" fillId="0" borderId="0" xfId="0" applyFont="1" applyAlignment="1">
      <alignment horizontal="right" vertical="top"/>
    </xf>
    <xf numFmtId="164" fontId="11" fillId="0" borderId="10" xfId="0" applyNumberFormat="1" applyFont="1" applyBorder="1" applyAlignment="1">
      <alignment horizontal="left" vertical="top" wrapText="1"/>
    </xf>
    <xf numFmtId="164" fontId="11" fillId="0" borderId="1" xfId="0" applyNumberFormat="1" applyFont="1" applyBorder="1" applyAlignment="1">
      <alignment horizontal="left" vertical="top" wrapText="1"/>
    </xf>
    <xf numFmtId="164" fontId="11" fillId="0" borderId="6" xfId="0" applyNumberFormat="1" applyFont="1" applyBorder="1" applyAlignment="1">
      <alignment horizontal="left" vertical="top" wrapText="1"/>
    </xf>
    <xf numFmtId="164" fontId="11" fillId="0" borderId="4" xfId="0" applyNumberFormat="1" applyFont="1" applyBorder="1" applyAlignment="1">
      <alignment horizontal="left" vertical="top" wrapText="1"/>
    </xf>
    <xf numFmtId="2" fontId="22" fillId="0" borderId="4" xfId="0" applyNumberFormat="1" applyFont="1" applyBorder="1" applyAlignment="1">
      <alignment horizontal="left" vertical="top" wrapText="1"/>
    </xf>
    <xf numFmtId="2" fontId="22" fillId="0" borderId="1" xfId="0" applyNumberFormat="1" applyFont="1" applyBorder="1" applyAlignment="1">
      <alignment horizontal="left" vertical="top" wrapText="1"/>
    </xf>
    <xf numFmtId="2" fontId="22" fillId="0" borderId="0" xfId="0" applyNumberFormat="1" applyFont="1" applyAlignment="1">
      <alignment horizontal="left" vertical="top" wrapText="1"/>
    </xf>
    <xf numFmtId="0" fontId="7" fillId="0" borderId="15" xfId="0" applyFont="1" applyBorder="1" applyAlignment="1">
      <alignment horizontal="left" vertical="center" wrapText="1" indent="2"/>
    </xf>
    <xf numFmtId="164" fontId="7" fillId="0" borderId="8" xfId="0" applyNumberFormat="1" applyFont="1" applyBorder="1" applyAlignment="1">
      <alignment horizontal="left" vertical="top"/>
    </xf>
    <xf numFmtId="0" fontId="7" fillId="0" borderId="9" xfId="0" applyFont="1" applyBorder="1" applyAlignment="1">
      <alignment horizontal="left" vertical="top"/>
    </xf>
    <xf numFmtId="0" fontId="7" fillId="0" borderId="2" xfId="0" applyFont="1" applyBorder="1" applyAlignment="1">
      <alignment horizontal="left" vertical="top"/>
    </xf>
    <xf numFmtId="0" fontId="7" fillId="0" borderId="3" xfId="0" applyFont="1" applyBorder="1"/>
    <xf numFmtId="0" fontId="11" fillId="0" borderId="0" xfId="0" applyFont="1" applyAlignment="1">
      <alignment horizontal="right" vertical="top" wrapText="1"/>
    </xf>
    <xf numFmtId="0" fontId="0" fillId="0" borderId="9" xfId="0" applyBorder="1" applyAlignment="1">
      <alignment horizontal="right"/>
    </xf>
    <xf numFmtId="164" fontId="7" fillId="0" borderId="13" xfId="0" applyNumberFormat="1" applyFont="1" applyBorder="1" applyAlignment="1">
      <alignment horizontal="right" vertical="top" wrapText="1"/>
    </xf>
    <xf numFmtId="0" fontId="0" fillId="0" borderId="2" xfId="0" applyBorder="1" applyAlignment="1">
      <alignment horizontal="right"/>
    </xf>
    <xf numFmtId="0" fontId="0" fillId="0" borderId="45" xfId="0" applyBorder="1" applyAlignment="1">
      <alignment horizontal="right"/>
    </xf>
    <xf numFmtId="164" fontId="7" fillId="0" borderId="47" xfId="0" applyNumberFormat="1" applyFont="1" applyBorder="1" applyAlignment="1">
      <alignment horizontal="right" vertical="top" wrapText="1"/>
    </xf>
    <xf numFmtId="164" fontId="7" fillId="0" borderId="10" xfId="0" applyNumberFormat="1" applyFont="1" applyBorder="1" applyAlignment="1">
      <alignment horizontal="left" vertical="top" wrapText="1"/>
    </xf>
    <xf numFmtId="0" fontId="0" fillId="0" borderId="4" xfId="0" applyBorder="1" applyAlignment="1">
      <alignment horizontal="left"/>
    </xf>
    <xf numFmtId="0" fontId="0" fillId="0" borderId="1" xfId="0" applyBorder="1" applyAlignment="1">
      <alignment horizontal="left"/>
    </xf>
    <xf numFmtId="0" fontId="0" fillId="0" borderId="46" xfId="0" applyBorder="1" applyAlignment="1">
      <alignment horizontal="left"/>
    </xf>
    <xf numFmtId="164" fontId="7" fillId="0" borderId="48" xfId="0" applyNumberFormat="1" applyFont="1" applyBorder="1" applyAlignment="1">
      <alignment horizontal="left" vertical="top" wrapText="1"/>
    </xf>
    <xf numFmtId="164" fontId="7" fillId="0" borderId="31" xfId="0" applyNumberFormat="1" applyFont="1" applyBorder="1" applyAlignment="1">
      <alignment horizontal="left" vertical="top" wrapText="1"/>
    </xf>
    <xf numFmtId="164" fontId="7" fillId="0" borderId="34" xfId="0" applyNumberFormat="1" applyFont="1" applyBorder="1" applyAlignment="1">
      <alignment horizontal="left" vertical="top" wrapText="1"/>
    </xf>
    <xf numFmtId="164" fontId="7" fillId="0" borderId="8" xfId="0" applyNumberFormat="1" applyFont="1" applyBorder="1" applyAlignment="1">
      <alignment horizontal="left" vertical="top" wrapText="1"/>
    </xf>
    <xf numFmtId="0" fontId="7" fillId="0" borderId="13" xfId="0" applyFont="1" applyBorder="1" applyAlignment="1">
      <alignment horizontal="left" vertical="top"/>
    </xf>
    <xf numFmtId="0" fontId="7" fillId="0" borderId="8" xfId="0" applyFont="1" applyBorder="1" applyAlignment="1">
      <alignment horizontal="left" vertical="top"/>
    </xf>
    <xf numFmtId="164" fontId="7" fillId="0" borderId="49" xfId="0" applyNumberFormat="1" applyFont="1" applyBorder="1" applyAlignment="1">
      <alignment horizontal="left" vertical="top" wrapText="1"/>
    </xf>
    <xf numFmtId="0" fontId="0" fillId="0" borderId="9" xfId="0" applyBorder="1" applyAlignment="1">
      <alignment horizontal="left"/>
    </xf>
    <xf numFmtId="164" fontId="7" fillId="0" borderId="50" xfId="0" applyNumberFormat="1" applyFont="1" applyBorder="1" applyAlignment="1">
      <alignment horizontal="left" vertical="top" wrapText="1"/>
    </xf>
    <xf numFmtId="0" fontId="7" fillId="0" borderId="36" xfId="0" applyFont="1" applyBorder="1" applyAlignment="1">
      <alignment horizontal="left" vertical="center" wrapText="1"/>
    </xf>
    <xf numFmtId="0" fontId="7" fillId="0" borderId="38" xfId="0" applyFont="1" applyBorder="1" applyAlignment="1">
      <alignment horizontal="left" vertical="center" wrapText="1"/>
    </xf>
    <xf numFmtId="0" fontId="7" fillId="0" borderId="40" xfId="0" applyFont="1" applyBorder="1" applyAlignment="1">
      <alignment horizontal="left" vertical="center" wrapText="1"/>
    </xf>
    <xf numFmtId="0" fontId="7" fillId="0" borderId="44" xfId="0" applyFont="1" applyBorder="1" applyAlignment="1">
      <alignment horizontal="left" vertical="top" wrapText="1"/>
    </xf>
    <xf numFmtId="0" fontId="7" fillId="0" borderId="10" xfId="0" applyFont="1" applyBorder="1" applyAlignment="1">
      <alignment horizontal="left" vertical="center" wrapText="1"/>
    </xf>
    <xf numFmtId="164" fontId="7" fillId="0" borderId="7" xfId="0" applyNumberFormat="1" applyFont="1" applyBorder="1" applyAlignment="1">
      <alignment horizontal="center" vertical="top"/>
    </xf>
    <xf numFmtId="0" fontId="7" fillId="0" borderId="10" xfId="0" applyFont="1" applyBorder="1" applyAlignment="1">
      <alignment horizontal="center" vertical="top"/>
    </xf>
    <xf numFmtId="164" fontId="7" fillId="0" borderId="8" xfId="0" applyNumberFormat="1" applyFont="1" applyBorder="1" applyAlignment="1">
      <alignment horizontal="center" vertical="top"/>
    </xf>
    <xf numFmtId="0" fontId="0" fillId="0" borderId="9" xfId="0" applyBorder="1" applyAlignment="1">
      <alignment horizontal="center" vertical="top"/>
    </xf>
    <xf numFmtId="0" fontId="0" fillId="0" borderId="14" xfId="0" applyBorder="1" applyAlignment="1">
      <alignment horizontal="left" vertical="top"/>
    </xf>
    <xf numFmtId="0" fontId="0" fillId="0" borderId="2" xfId="0" applyBorder="1" applyAlignment="1">
      <alignment horizontal="center" vertical="top"/>
    </xf>
    <xf numFmtId="0" fontId="0" fillId="0" borderId="1" xfId="0" applyBorder="1" applyAlignment="1">
      <alignment horizontal="left" vertical="top"/>
    </xf>
    <xf numFmtId="2" fontId="25" fillId="0" borderId="3" xfId="0" applyNumberFormat="1" applyFont="1" applyBorder="1" applyAlignment="1">
      <alignment horizontal="left" vertical="top" wrapText="1"/>
    </xf>
    <xf numFmtId="2" fontId="25" fillId="0" borderId="0" xfId="0" applyNumberFormat="1" applyFont="1" applyAlignment="1">
      <alignment horizontal="left" vertical="top" wrapText="1"/>
    </xf>
    <xf numFmtId="165" fontId="31" fillId="0" borderId="0" xfId="0" applyNumberFormat="1" applyFont="1" applyAlignment="1">
      <alignment vertical="center" wrapText="1"/>
    </xf>
    <xf numFmtId="164" fontId="7" fillId="0" borderId="9" xfId="0" applyNumberFormat="1" applyFont="1" applyBorder="1" applyAlignment="1">
      <alignment horizontal="right" vertical="center" wrapText="1"/>
    </xf>
    <xf numFmtId="164" fontId="11" fillId="0" borderId="0" xfId="0" applyNumberFormat="1" applyFont="1" applyAlignment="1">
      <alignment horizontal="left" vertical="top" wrapText="1"/>
    </xf>
    <xf numFmtId="0" fontId="22" fillId="0" borderId="0" xfId="0" applyFont="1" applyAlignment="1">
      <alignment horizontal="left" vertical="top" wrapText="1"/>
    </xf>
    <xf numFmtId="0" fontId="7" fillId="0" borderId="41" xfId="0" applyFont="1" applyBorder="1" applyAlignment="1">
      <alignment vertical="top" wrapText="1"/>
    </xf>
    <xf numFmtId="0" fontId="7" fillId="0" borderId="37" xfId="0" applyFont="1" applyBorder="1" applyAlignment="1">
      <alignment vertical="top" wrapText="1"/>
    </xf>
    <xf numFmtId="0" fontId="7" fillId="0" borderId="39" xfId="0" applyFont="1" applyBorder="1" applyAlignment="1">
      <alignment vertical="top" wrapText="1"/>
    </xf>
    <xf numFmtId="164" fontId="11" fillId="0" borderId="5" xfId="0" applyNumberFormat="1" applyFont="1" applyBorder="1" applyAlignment="1">
      <alignment horizontal="left" vertical="top" wrapText="1"/>
    </xf>
    <xf numFmtId="0" fontId="22" fillId="0" borderId="5" xfId="0" applyFont="1" applyBorder="1" applyAlignment="1">
      <alignment horizontal="left" vertical="top" wrapText="1"/>
    </xf>
    <xf numFmtId="0" fontId="22" fillId="0" borderId="15" xfId="0" applyFont="1" applyBorder="1" applyAlignment="1">
      <alignment horizontal="left" vertical="top" wrapText="1"/>
    </xf>
    <xf numFmtId="164" fontId="20" fillId="0" borderId="8" xfId="0" applyNumberFormat="1" applyFont="1" applyBorder="1" applyAlignment="1">
      <alignment horizontal="center" vertical="top" wrapText="1"/>
    </xf>
    <xf numFmtId="164" fontId="20" fillId="0" borderId="13" xfId="0" applyNumberFormat="1" applyFont="1" applyBorder="1" applyAlignment="1">
      <alignment horizontal="center" vertical="top" wrapText="1"/>
    </xf>
    <xf numFmtId="0" fontId="20" fillId="2" borderId="12" xfId="0" applyFont="1" applyFill="1" applyBorder="1" applyAlignment="1">
      <alignment vertical="top" wrapText="1"/>
    </xf>
    <xf numFmtId="0" fontId="20" fillId="2" borderId="4" xfId="0" applyFont="1" applyFill="1" applyBorder="1" applyAlignment="1">
      <alignment vertical="top" wrapText="1"/>
    </xf>
    <xf numFmtId="164" fontId="7" fillId="0" borderId="42" xfId="0" applyNumberFormat="1" applyFont="1" applyBorder="1" applyAlignment="1">
      <alignment horizontal="left" vertical="top" wrapText="1"/>
    </xf>
    <xf numFmtId="164" fontId="7" fillId="0" borderId="38" xfId="0" applyNumberFormat="1" applyFont="1" applyBorder="1" applyAlignment="1">
      <alignment horizontal="left" vertical="top" wrapText="1"/>
    </xf>
    <xf numFmtId="164" fontId="20" fillId="0" borderId="5" xfId="0" applyNumberFormat="1" applyFont="1" applyBorder="1" applyAlignment="1">
      <alignment horizontal="center" vertical="top" wrapText="1"/>
    </xf>
    <xf numFmtId="164" fontId="20" fillId="0" borderId="7" xfId="0" applyNumberFormat="1" applyFont="1" applyBorder="1" applyAlignment="1">
      <alignment horizontal="center" vertical="top" wrapText="1"/>
    </xf>
    <xf numFmtId="164" fontId="11" fillId="0" borderId="7" xfId="0" applyNumberFormat="1" applyFont="1" applyBorder="1" applyAlignment="1">
      <alignment horizontal="left" vertical="top" wrapText="1"/>
    </xf>
    <xf numFmtId="164" fontId="7" fillId="0" borderId="8" xfId="0" applyNumberFormat="1" applyFont="1" applyBorder="1" applyAlignment="1">
      <alignment horizontal="center" vertical="center" wrapText="1"/>
    </xf>
    <xf numFmtId="164" fontId="7" fillId="0" borderId="10" xfId="0" applyNumberFormat="1" applyFont="1" applyBorder="1" applyAlignment="1">
      <alignment horizontal="center" vertical="center" wrapText="1"/>
    </xf>
    <xf numFmtId="0" fontId="7" fillId="0" borderId="0" xfId="0" applyFont="1" applyAlignment="1">
      <alignment horizontal="left" vertical="center" wrapText="1"/>
    </xf>
    <xf numFmtId="0" fontId="7" fillId="0" borderId="42" xfId="0" applyFont="1" applyBorder="1" applyAlignment="1">
      <alignment vertical="top"/>
    </xf>
    <xf numFmtId="0" fontId="7" fillId="0" borderId="38" xfId="0" applyFont="1" applyBorder="1" applyAlignment="1">
      <alignment vertical="top"/>
    </xf>
    <xf numFmtId="0" fontId="7" fillId="0" borderId="40" xfId="0" applyFont="1" applyBorder="1" applyAlignment="1">
      <alignment vertical="top"/>
    </xf>
    <xf numFmtId="0" fontId="7" fillId="0" borderId="13" xfId="0" applyFont="1" applyBorder="1" applyAlignment="1">
      <alignment horizontal="left" vertical="center" wrapText="1"/>
    </xf>
    <xf numFmtId="164" fontId="7" fillId="0" borderId="5" xfId="0" applyNumberFormat="1" applyFont="1" applyBorder="1" applyAlignment="1">
      <alignment horizontal="center" vertical="center" wrapText="1"/>
    </xf>
    <xf numFmtId="164" fontId="7" fillId="0" borderId="13" xfId="0" applyNumberFormat="1" applyFont="1" applyBorder="1" applyAlignment="1">
      <alignment horizontal="left" vertical="top" wrapText="1"/>
    </xf>
    <xf numFmtId="0" fontId="7" fillId="0" borderId="6" xfId="0" applyFont="1" applyBorder="1" applyAlignment="1">
      <alignment horizontal="left" vertical="top"/>
    </xf>
    <xf numFmtId="0" fontId="0" fillId="0" borderId="2" xfId="0" applyBorder="1" applyAlignment="1">
      <alignment horizontal="left"/>
    </xf>
    <xf numFmtId="0" fontId="7" fillId="0" borderId="16" xfId="0" applyFont="1" applyBorder="1" applyAlignment="1">
      <alignment horizontal="left" vertical="center" wrapText="1"/>
    </xf>
    <xf numFmtId="0" fontId="7" fillId="0" borderId="23" xfId="0" applyFont="1" applyBorder="1" applyAlignment="1">
      <alignment horizontal="left" vertical="center" wrapText="1"/>
    </xf>
    <xf numFmtId="0" fontId="7" fillId="0" borderId="11" xfId="0" applyFont="1" applyBorder="1" applyAlignment="1">
      <alignment horizontal="left" vertical="top"/>
    </xf>
    <xf numFmtId="0" fontId="7" fillId="0" borderId="14" xfId="0" applyFont="1" applyBorder="1" applyAlignment="1">
      <alignment horizontal="left" vertical="top"/>
    </xf>
    <xf numFmtId="0" fontId="7" fillId="0" borderId="3" xfId="0" applyFont="1" applyBorder="1" applyAlignment="1">
      <alignment horizontal="left" vertical="top"/>
    </xf>
    <xf numFmtId="164" fontId="20" fillId="0" borderId="2" xfId="0" applyNumberFormat="1" applyFont="1" applyBorder="1" applyAlignment="1">
      <alignment horizontal="center" vertical="top" wrapText="1"/>
    </xf>
    <xf numFmtId="164" fontId="7" fillId="0" borderId="0" xfId="0" applyNumberFormat="1" applyFont="1" applyAlignment="1">
      <alignment horizontal="left" vertical="center" wrapText="1"/>
    </xf>
    <xf numFmtId="0" fontId="8" fillId="0" borderId="15" xfId="0" applyFont="1" applyBorder="1" applyAlignment="1">
      <alignment horizontal="center" vertical="top" wrapText="1"/>
    </xf>
    <xf numFmtId="0" fontId="6" fillId="0" borderId="4" xfId="0" applyFont="1" applyBorder="1" applyAlignment="1">
      <alignment horizontal="left" vertical="center" wrapText="1"/>
    </xf>
    <xf numFmtId="0" fontId="7" fillId="0" borderId="0" xfId="0" applyFont="1" applyAlignment="1">
      <alignment horizontal="left" vertical="top" wrapText="1" indent="3"/>
    </xf>
    <xf numFmtId="0" fontId="7" fillId="0" borderId="0" xfId="0" applyFont="1" applyAlignment="1">
      <alignment horizontal="center" vertical="center"/>
    </xf>
    <xf numFmtId="0" fontId="7" fillId="0" borderId="7" xfId="0" applyFont="1" applyBorder="1" applyAlignment="1">
      <alignment horizontal="left" vertical="top"/>
    </xf>
    <xf numFmtId="0" fontId="7" fillId="0" borderId="15" xfId="0" applyFont="1" applyBorder="1" applyAlignment="1">
      <alignment horizontal="center" vertical="center" wrapText="1"/>
    </xf>
    <xf numFmtId="164" fontId="7" fillId="0" borderId="7" xfId="0" applyNumberFormat="1" applyFont="1" applyBorder="1" applyAlignment="1">
      <alignment horizontal="left" vertical="top" wrapText="1"/>
    </xf>
    <xf numFmtId="164" fontId="20" fillId="0" borderId="9" xfId="0" applyNumberFormat="1" applyFont="1" applyBorder="1" applyAlignment="1">
      <alignment horizontal="left" vertical="top" wrapText="1"/>
    </xf>
    <xf numFmtId="0" fontId="5" fillId="0" borderId="8" xfId="0" applyFont="1" applyBorder="1" applyAlignment="1">
      <alignment horizontal="left" vertical="top"/>
    </xf>
    <xf numFmtId="0" fontId="0" fillId="0" borderId="14" xfId="0" applyBorder="1" applyAlignment="1">
      <alignment horizontal="left" vertical="top" wrapText="1"/>
    </xf>
    <xf numFmtId="164" fontId="0" fillId="0" borderId="2" xfId="0" applyNumberFormat="1" applyBorder="1" applyAlignment="1">
      <alignment horizontal="left" vertical="top" wrapText="1"/>
    </xf>
    <xf numFmtId="164" fontId="7" fillId="0" borderId="8" xfId="0" applyNumberFormat="1" applyFont="1" applyBorder="1" applyAlignment="1">
      <alignment horizontal="left" vertical="center" wrapText="1"/>
    </xf>
    <xf numFmtId="164" fontId="7" fillId="0" borderId="10" xfId="0" applyNumberFormat="1" applyFont="1" applyBorder="1" applyAlignment="1">
      <alignment horizontal="left" vertical="center" wrapText="1"/>
    </xf>
    <xf numFmtId="0" fontId="7" fillId="0" borderId="3" xfId="0" applyFont="1" applyBorder="1" applyAlignment="1">
      <alignment vertical="top" wrapText="1"/>
    </xf>
    <xf numFmtId="164" fontId="20" fillId="0" borderId="11" xfId="0" applyNumberFormat="1" applyFont="1" applyBorder="1" applyAlignment="1">
      <alignment horizontal="center" vertical="top" wrapText="1"/>
    </xf>
    <xf numFmtId="164" fontId="20" fillId="0" borderId="14" xfId="0" applyNumberFormat="1" applyFont="1" applyBorder="1" applyAlignment="1">
      <alignment horizontal="center" vertical="top" wrapText="1"/>
    </xf>
    <xf numFmtId="0" fontId="22" fillId="0" borderId="4" xfId="0" applyFont="1" applyBorder="1" applyAlignment="1">
      <alignment horizontal="left" vertical="top" wrapText="1"/>
    </xf>
    <xf numFmtId="0" fontId="7" fillId="0" borderId="55" xfId="0" applyFont="1" applyBorder="1" applyAlignment="1">
      <alignment vertical="top" wrapText="1"/>
    </xf>
    <xf numFmtId="164" fontId="7" fillId="0" borderId="0" xfId="0" applyNumberFormat="1" applyFont="1" applyAlignment="1">
      <alignment horizontal="left" vertical="top" wrapText="1"/>
    </xf>
    <xf numFmtId="0" fontId="22" fillId="0" borderId="10" xfId="0" applyFont="1" applyBorder="1"/>
    <xf numFmtId="0" fontId="22" fillId="0" borderId="1" xfId="0" applyFont="1" applyBorder="1"/>
    <xf numFmtId="164" fontId="20" fillId="0" borderId="2" xfId="0" applyNumberFormat="1" applyFont="1" applyBorder="1" applyAlignment="1">
      <alignment horizontal="left" vertical="top" wrapText="1"/>
    </xf>
    <xf numFmtId="164" fontId="7" fillId="0" borderId="56" xfId="0" applyNumberFormat="1" applyFont="1" applyBorder="1" applyAlignment="1">
      <alignment horizontal="left" vertical="top" wrapText="1"/>
    </xf>
    <xf numFmtId="164" fontId="7" fillId="0" borderId="57" xfId="0" applyNumberFormat="1" applyFont="1" applyBorder="1" applyAlignment="1">
      <alignment horizontal="left" vertical="top" wrapText="1"/>
    </xf>
    <xf numFmtId="0" fontId="7" fillId="0" borderId="3" xfId="0" applyFont="1" applyBorder="1" applyAlignment="1">
      <alignment horizontal="left" vertical="center" wrapText="1"/>
    </xf>
    <xf numFmtId="164" fontId="7" fillId="0" borderId="3" xfId="0" applyNumberFormat="1" applyFont="1" applyBorder="1" applyAlignment="1">
      <alignment horizontal="left" vertical="center" wrapText="1"/>
    </xf>
    <xf numFmtId="0" fontId="7" fillId="0" borderId="4" xfId="0" applyFont="1" applyBorder="1" applyAlignment="1">
      <alignment horizontal="center" vertical="top" wrapText="1"/>
    </xf>
    <xf numFmtId="0" fontId="9" fillId="0" borderId="12" xfId="0" applyFont="1" applyBorder="1" applyAlignment="1">
      <alignment horizontal="left" vertical="top" wrapText="1"/>
    </xf>
    <xf numFmtId="0" fontId="7" fillId="0" borderId="0" xfId="0" applyFont="1" applyAlignment="1">
      <alignment horizontal="center" vertical="top" wrapText="1"/>
    </xf>
    <xf numFmtId="0" fontId="7" fillId="0" borderId="14" xfId="0" applyFont="1" applyBorder="1" applyAlignment="1">
      <alignment vertical="top" wrapText="1"/>
    </xf>
    <xf numFmtId="0" fontId="22" fillId="0" borderId="12" xfId="0" applyFont="1" applyBorder="1" applyAlignment="1">
      <alignment vertical="top"/>
    </xf>
    <xf numFmtId="0" fontId="7" fillId="0" borderId="11" xfId="0" applyFont="1" applyBorder="1" applyAlignment="1">
      <alignment vertical="center" wrapText="1"/>
    </xf>
    <xf numFmtId="0" fontId="7" fillId="0" borderId="12" xfId="0" applyFont="1" applyBorder="1" applyAlignment="1">
      <alignment vertical="center" wrapText="1"/>
    </xf>
    <xf numFmtId="0" fontId="5" fillId="0" borderId="9" xfId="0" applyFont="1" applyBorder="1"/>
    <xf numFmtId="0" fontId="6" fillId="0" borderId="9" xfId="0" applyFont="1" applyBorder="1" applyAlignment="1">
      <alignment horizontal="left" vertical="center" wrapText="1"/>
    </xf>
    <xf numFmtId="164" fontId="7" fillId="0" borderId="11" xfId="0" applyNumberFormat="1" applyFont="1" applyBorder="1" applyAlignment="1">
      <alignment vertical="center" wrapText="1"/>
    </xf>
    <xf numFmtId="164" fontId="7" fillId="0" borderId="14" xfId="0" applyNumberFormat="1" applyFont="1" applyBorder="1" applyAlignment="1">
      <alignment vertical="center" wrapText="1"/>
    </xf>
    <xf numFmtId="0" fontId="27" fillId="0" borderId="0" xfId="0" applyFont="1" applyAlignment="1">
      <alignment vertical="center" wrapText="1"/>
    </xf>
    <xf numFmtId="0" fontId="7" fillId="0" borderId="16" xfId="0" quotePrefix="1" applyFont="1" applyBorder="1" applyAlignment="1">
      <alignment horizontal="left" vertical="center" wrapText="1"/>
    </xf>
    <xf numFmtId="0" fontId="7" fillId="0" borderId="23" xfId="0" quotePrefix="1" applyFont="1" applyBorder="1" applyAlignment="1">
      <alignment horizontal="left" vertical="center" wrapText="1"/>
    </xf>
    <xf numFmtId="0" fontId="20" fillId="2" borderId="1" xfId="0" quotePrefix="1" applyFont="1" applyFill="1" applyBorder="1" applyAlignment="1">
      <alignment vertical="center" wrapText="1"/>
    </xf>
    <xf numFmtId="0" fontId="7" fillId="3" borderId="15" xfId="0" applyFont="1" applyFill="1" applyBorder="1" applyAlignment="1">
      <alignment horizontal="left" vertical="top" wrapText="1"/>
    </xf>
    <xf numFmtId="0" fontId="7" fillId="0" borderId="11" xfId="0" applyFont="1" applyBorder="1" applyAlignment="1">
      <alignment horizontal="center" vertical="center" wrapText="1"/>
    </xf>
    <xf numFmtId="0" fontId="7" fillId="0" borderId="15" xfId="0" applyFont="1" applyBorder="1" applyAlignment="1">
      <alignment horizontal="center" vertical="top" wrapText="1"/>
    </xf>
    <xf numFmtId="0" fontId="7" fillId="0" borderId="19" xfId="0" applyFont="1" applyBorder="1" applyAlignment="1">
      <alignment horizontal="left" vertical="center" wrapText="1"/>
    </xf>
    <xf numFmtId="164" fontId="7" fillId="0" borderId="15" xfId="0" applyNumberFormat="1" applyFont="1" applyBorder="1" applyAlignment="1">
      <alignment horizontal="center" vertical="center" wrapText="1"/>
    </xf>
    <xf numFmtId="164" fontId="7" fillId="0" borderId="11" xfId="0" applyNumberFormat="1" applyFont="1" applyBorder="1" applyAlignment="1">
      <alignment horizontal="center" vertical="center" wrapText="1"/>
    </xf>
    <xf numFmtId="0" fontId="9" fillId="0" borderId="6" xfId="0" applyFont="1" applyBorder="1" applyAlignment="1">
      <alignment horizontal="left" vertical="top" wrapText="1"/>
    </xf>
    <xf numFmtId="0" fontId="44" fillId="0" borderId="8" xfId="0" applyFont="1" applyBorder="1" applyAlignment="1">
      <alignment horizontal="left" vertical="top"/>
    </xf>
    <xf numFmtId="0" fontId="44" fillId="0" borderId="10" xfId="0" applyFont="1" applyBorder="1" applyAlignment="1">
      <alignment horizontal="left" vertical="top"/>
    </xf>
    <xf numFmtId="0" fontId="44" fillId="0" borderId="0" xfId="0" applyFont="1" applyAlignment="1">
      <alignment horizontal="left" vertical="top"/>
    </xf>
    <xf numFmtId="0" fontId="44" fillId="0" borderId="9" xfId="0" applyFont="1" applyBorder="1" applyAlignment="1">
      <alignment horizontal="left" vertical="top"/>
    </xf>
    <xf numFmtId="0" fontId="44" fillId="0" borderId="4" xfId="0" applyFont="1" applyBorder="1" applyAlignment="1">
      <alignment horizontal="left" vertical="top"/>
    </xf>
    <xf numFmtId="0" fontId="44" fillId="0" borderId="2" xfId="0" applyFont="1" applyBorder="1" applyAlignment="1">
      <alignment horizontal="left" vertical="top"/>
    </xf>
    <xf numFmtId="0" fontId="44" fillId="0" borderId="1" xfId="0" applyFont="1" applyBorder="1" applyAlignment="1">
      <alignment horizontal="left" vertical="top"/>
    </xf>
    <xf numFmtId="0" fontId="45" fillId="0" borderId="60" xfId="0" applyFont="1" applyBorder="1" applyAlignment="1">
      <alignment horizontal="left" vertical="top" wrapText="1"/>
    </xf>
    <xf numFmtId="164" fontId="7" fillId="0" borderId="61" xfId="0" applyNumberFormat="1" applyFont="1" applyBorder="1" applyAlignment="1">
      <alignment horizontal="right" vertical="top" wrapText="1"/>
    </xf>
    <xf numFmtId="164" fontId="7" fillId="0" borderId="20" xfId="0" applyNumberFormat="1" applyFont="1" applyBorder="1" applyAlignment="1">
      <alignment horizontal="right" vertical="top" wrapText="1"/>
    </xf>
    <xf numFmtId="0" fontId="44" fillId="0" borderId="59" xfId="0" applyFont="1" applyBorder="1" applyAlignment="1">
      <alignment vertical="top" wrapText="1"/>
    </xf>
    <xf numFmtId="164" fontId="7" fillId="0" borderId="62" xfId="0" applyNumberFormat="1" applyFont="1" applyBorder="1" applyAlignment="1">
      <alignment horizontal="right" vertical="top" wrapText="1"/>
    </xf>
    <xf numFmtId="0" fontId="44" fillId="0" borderId="0" xfId="0" applyFont="1" applyAlignment="1">
      <alignment horizontal="right" vertical="top"/>
    </xf>
    <xf numFmtId="164" fontId="7" fillId="0" borderId="15" xfId="0" applyNumberFormat="1" applyFont="1" applyBorder="1" applyAlignment="1">
      <alignment horizontal="left" vertical="top"/>
    </xf>
    <xf numFmtId="164" fontId="22" fillId="0" borderId="10" xfId="0" applyNumberFormat="1" applyFont="1" applyBorder="1" applyAlignment="1">
      <alignment horizontal="left" vertical="top"/>
    </xf>
    <xf numFmtId="0" fontId="6" fillId="0" borderId="9" xfId="0" applyFont="1" applyBorder="1" applyAlignment="1">
      <alignment horizontal="left" vertical="center" wrapText="1"/>
    </xf>
    <xf numFmtId="0" fontId="6" fillId="0" borderId="2" xfId="0" applyFont="1" applyBorder="1" applyAlignment="1">
      <alignment horizontal="left" vertical="center" wrapText="1"/>
    </xf>
    <xf numFmtId="164" fontId="7" fillId="0" borderId="10" xfId="0" applyNumberFormat="1" applyFont="1" applyBorder="1" applyAlignment="1">
      <alignment horizontal="left" vertical="top" wrapText="1"/>
    </xf>
    <xf numFmtId="164" fontId="0" fillId="0" borderId="4" xfId="0" applyNumberForma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9" fillId="0" borderId="9" xfId="0" applyFont="1" applyBorder="1" applyAlignment="1">
      <alignment vertical="center" wrapText="1"/>
    </xf>
    <xf numFmtId="0" fontId="9" fillId="0" borderId="2" xfId="0" applyFont="1" applyBorder="1" applyAlignment="1">
      <alignment vertical="center" wrapText="1"/>
    </xf>
    <xf numFmtId="0" fontId="6" fillId="0" borderId="13" xfId="0" applyFont="1" applyBorder="1" applyAlignment="1">
      <alignment horizontal="center" vertical="center" wrapText="1"/>
    </xf>
    <xf numFmtId="0" fontId="6" fillId="0" borderId="6" xfId="0" applyFont="1" applyBorder="1" applyAlignment="1">
      <alignment horizontal="center" vertical="center" wrapText="1"/>
    </xf>
    <xf numFmtId="0" fontId="7" fillId="0" borderId="9" xfId="0" applyFont="1" applyBorder="1" applyAlignment="1">
      <alignment horizontal="left" vertical="center" wrapText="1"/>
    </xf>
    <xf numFmtId="0" fontId="7" fillId="0" borderId="2" xfId="0" applyFont="1" applyBorder="1" applyAlignment="1">
      <alignment horizontal="left" vertical="center" wrapText="1"/>
    </xf>
    <xf numFmtId="0" fontId="7" fillId="0" borderId="13" xfId="0" applyFont="1" applyBorder="1" applyAlignment="1">
      <alignment horizontal="left" vertical="top" wrapText="1"/>
    </xf>
    <xf numFmtId="0" fontId="7" fillId="0" borderId="6" xfId="0" applyFont="1" applyBorder="1" applyAlignment="1">
      <alignment horizontal="left" vertical="top" wrapText="1"/>
    </xf>
    <xf numFmtId="0" fontId="7" fillId="0" borderId="13" xfId="0" applyFont="1" applyBorder="1" applyAlignment="1">
      <alignment horizontal="left" vertical="center" wrapText="1"/>
    </xf>
    <xf numFmtId="0" fontId="7" fillId="0" borderId="6" xfId="0" applyFont="1" applyBorder="1" applyAlignment="1">
      <alignment horizontal="left" vertical="center" wrapText="1"/>
    </xf>
    <xf numFmtId="164" fontId="0" fillId="0" borderId="1" xfId="0" applyNumberFormat="1" applyBorder="1" applyAlignment="1">
      <alignment horizontal="left" vertical="top" wrapText="1"/>
    </xf>
    <xf numFmtId="0" fontId="7" fillId="0" borderId="14" xfId="0" applyFont="1" applyBorder="1" applyAlignment="1">
      <alignment horizontal="left" vertical="top" wrapText="1"/>
    </xf>
    <xf numFmtId="0" fontId="7" fillId="0" borderId="13" xfId="0" applyFont="1" applyBorder="1" applyAlignment="1">
      <alignment horizontal="center" vertical="center" wrapText="1"/>
    </xf>
    <xf numFmtId="0" fontId="7" fillId="0" borderId="6" xfId="0" applyFont="1" applyBorder="1" applyAlignment="1">
      <alignment horizontal="center" vertical="center" wrapText="1"/>
    </xf>
    <xf numFmtId="0" fontId="8" fillId="0" borderId="3" xfId="0" quotePrefix="1" applyFont="1" applyBorder="1" applyAlignment="1">
      <alignment horizontal="left" vertical="center" wrapText="1"/>
    </xf>
    <xf numFmtId="0" fontId="8" fillId="0" borderId="5" xfId="0" applyFont="1" applyBorder="1" applyAlignment="1">
      <alignment horizontal="left" vertical="center" wrapText="1"/>
    </xf>
    <xf numFmtId="0" fontId="25" fillId="0" borderId="11" xfId="0" applyFont="1" applyBorder="1" applyAlignment="1">
      <alignment horizontal="left" vertical="top" wrapText="1"/>
    </xf>
    <xf numFmtId="164" fontId="7" fillId="0" borderId="8" xfId="0" applyNumberFormat="1" applyFont="1" applyBorder="1" applyAlignment="1">
      <alignment horizontal="left" vertical="top" wrapText="1"/>
    </xf>
    <xf numFmtId="0" fontId="12" fillId="0" borderId="0" xfId="0" applyFont="1" applyAlignment="1">
      <alignment horizontal="center" vertical="top" wrapText="1"/>
    </xf>
    <xf numFmtId="0" fontId="6" fillId="0" borderId="0" xfId="0" applyFont="1" applyAlignment="1">
      <alignment horizontal="left" vertical="center" wrapText="1"/>
    </xf>
    <xf numFmtId="0" fontId="7" fillId="0" borderId="8" xfId="0" applyFont="1" applyBorder="1" applyAlignment="1">
      <alignment horizontal="left" vertical="center" wrapText="1"/>
    </xf>
    <xf numFmtId="0" fontId="7" fillId="0" borderId="2" xfId="0" applyFont="1" applyBorder="1" applyAlignment="1">
      <alignment horizontal="center" vertical="top" wrapText="1"/>
    </xf>
    <xf numFmtId="0" fontId="7" fillId="0" borderId="1" xfId="0" applyFont="1" applyBorder="1" applyAlignment="1">
      <alignment horizontal="center" vertical="top" wrapText="1"/>
    </xf>
    <xf numFmtId="164" fontId="7" fillId="0" borderId="13" xfId="0" applyNumberFormat="1" applyFont="1" applyBorder="1" applyAlignment="1">
      <alignment horizontal="left" vertical="top"/>
    </xf>
    <xf numFmtId="164" fontId="7" fillId="0" borderId="6" xfId="0" applyNumberFormat="1" applyFont="1" applyBorder="1" applyAlignment="1">
      <alignment horizontal="left" vertical="top"/>
    </xf>
    <xf numFmtId="164" fontId="7" fillId="0" borderId="8" xfId="0" applyNumberFormat="1" applyFont="1" applyBorder="1" applyAlignment="1">
      <alignment horizontal="left" vertical="top"/>
    </xf>
    <xf numFmtId="164" fontId="7" fillId="0" borderId="10" xfId="0" applyNumberFormat="1" applyFont="1" applyBorder="1" applyAlignment="1">
      <alignment horizontal="left" vertical="top"/>
    </xf>
    <xf numFmtId="164" fontId="7" fillId="0" borderId="2" xfId="0" applyNumberFormat="1" applyFont="1" applyBorder="1" applyAlignment="1">
      <alignment horizontal="left" vertical="top"/>
    </xf>
    <xf numFmtId="164" fontId="7" fillId="0" borderId="1" xfId="0" applyNumberFormat="1" applyFont="1" applyBorder="1" applyAlignment="1">
      <alignment horizontal="left" vertical="top"/>
    </xf>
    <xf numFmtId="164" fontId="7" fillId="0" borderId="13" xfId="0" applyNumberFormat="1" applyFont="1" applyBorder="1" applyAlignment="1">
      <alignment horizontal="left" vertical="top" wrapText="1"/>
    </xf>
    <xf numFmtId="164" fontId="7" fillId="0" borderId="6" xfId="0" applyNumberFormat="1" applyFont="1" applyBorder="1" applyAlignment="1">
      <alignment horizontal="left" vertical="top" wrapText="1"/>
    </xf>
    <xf numFmtId="2" fontId="22" fillId="0" borderId="0" xfId="0" applyNumberFormat="1" applyFont="1" applyAlignment="1">
      <alignment horizontal="left" vertical="top" wrapText="1"/>
    </xf>
    <xf numFmtId="2" fontId="25" fillId="0" borderId="0" xfId="0" applyNumberFormat="1" applyFont="1" applyAlignment="1">
      <alignment horizontal="left" vertical="top" wrapText="1"/>
    </xf>
    <xf numFmtId="0" fontId="16" fillId="0" borderId="0" xfId="0" applyFont="1" applyAlignment="1">
      <alignment horizontal="center" vertical="top" wrapText="1"/>
    </xf>
    <xf numFmtId="0" fontId="22" fillId="0" borderId="11" xfId="0" applyFont="1" applyBorder="1" applyAlignment="1">
      <alignment horizontal="left" vertical="top" wrapText="1"/>
    </xf>
    <xf numFmtId="0" fontId="22" fillId="0" borderId="14" xfId="0" applyFont="1" applyBorder="1" applyAlignment="1">
      <alignment horizontal="left" vertical="top" wrapText="1"/>
    </xf>
    <xf numFmtId="164" fontId="11" fillId="0" borderId="6" xfId="0" applyNumberFormat="1" applyFont="1" applyBorder="1" applyAlignment="1">
      <alignment horizontal="left" vertical="top" wrapText="1"/>
    </xf>
    <xf numFmtId="0" fontId="19" fillId="0" borderId="13" xfId="0" applyFont="1" applyBorder="1" applyAlignment="1">
      <alignment horizontal="center" vertical="center" wrapText="1"/>
    </xf>
    <xf numFmtId="0" fontId="19" fillId="0" borderId="6" xfId="0" applyFont="1" applyBorder="1" applyAlignment="1">
      <alignment horizontal="center" vertical="center"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2" xfId="0" applyFont="1" applyBorder="1" applyAlignment="1">
      <alignment horizontal="center" vertical="top"/>
    </xf>
    <xf numFmtId="0" fontId="7" fillId="0" borderId="3" xfId="0" applyFont="1" applyBorder="1" applyAlignment="1">
      <alignment horizontal="center" vertical="top"/>
    </xf>
    <xf numFmtId="0" fontId="19" fillId="0" borderId="8" xfId="0" applyFont="1" applyBorder="1" applyAlignment="1">
      <alignment horizontal="center" vertical="center" wrapText="1"/>
    </xf>
    <xf numFmtId="0" fontId="19" fillId="0" borderId="10" xfId="0" applyFont="1" applyBorder="1" applyAlignment="1">
      <alignment horizontal="center" vertical="center" wrapText="1"/>
    </xf>
    <xf numFmtId="164" fontId="20" fillId="0" borderId="13" xfId="0" applyNumberFormat="1" applyFont="1" applyBorder="1" applyAlignment="1">
      <alignment horizontal="left" vertical="top" wrapText="1"/>
    </xf>
    <xf numFmtId="164" fontId="20" fillId="0" borderId="8" xfId="0" applyNumberFormat="1" applyFont="1" applyBorder="1" applyAlignment="1">
      <alignment horizontal="left" vertical="top" wrapText="1"/>
    </xf>
    <xf numFmtId="164" fontId="20" fillId="0" borderId="9" xfId="0" applyNumberFormat="1" applyFont="1" applyBorder="1" applyAlignment="1">
      <alignment horizontal="left" vertical="top" wrapText="1"/>
    </xf>
    <xf numFmtId="0" fontId="22" fillId="0" borderId="12" xfId="0" applyFont="1" applyBorder="1" applyAlignment="1">
      <alignment horizontal="left" vertical="top" wrapText="1"/>
    </xf>
    <xf numFmtId="0" fontId="7" fillId="0" borderId="10" xfId="0" applyFont="1" applyBorder="1" applyAlignment="1">
      <alignment horizontal="left" vertical="center" wrapText="1"/>
    </xf>
    <xf numFmtId="0" fontId="7" fillId="0" borderId="4" xfId="0" applyFont="1" applyBorder="1" applyAlignment="1">
      <alignment horizontal="left" vertical="center" wrapText="1"/>
    </xf>
    <xf numFmtId="0" fontId="7" fillId="0" borderId="3" xfId="0" applyFont="1" applyBorder="1" applyAlignment="1">
      <alignment horizontal="center" vertical="top" wrapText="1"/>
    </xf>
    <xf numFmtId="0" fontId="7" fillId="0" borderId="0" xfId="0" applyFont="1" applyAlignment="1">
      <alignment horizontal="left" vertical="top" wrapText="1"/>
    </xf>
    <xf numFmtId="0" fontId="0" fillId="0" borderId="12" xfId="0" applyBorder="1" applyAlignment="1">
      <alignment horizontal="left" vertical="top" wrapText="1"/>
    </xf>
    <xf numFmtId="164" fontId="7" fillId="0" borderId="15" xfId="0" applyNumberFormat="1" applyFont="1" applyBorder="1" applyAlignment="1">
      <alignment horizontal="center" vertical="center" wrapText="1"/>
    </xf>
    <xf numFmtId="164" fontId="7" fillId="0" borderId="0" xfId="0" applyNumberFormat="1" applyFont="1" applyAlignment="1">
      <alignment horizontal="center" vertical="top" wrapText="1"/>
    </xf>
    <xf numFmtId="164" fontId="7" fillId="0" borderId="3" xfId="0" applyNumberFormat="1" applyFont="1" applyBorder="1" applyAlignment="1">
      <alignment horizontal="center" vertical="top" wrapText="1"/>
    </xf>
    <xf numFmtId="164" fontId="0" fillId="0" borderId="9" xfId="0" applyNumberFormat="1" applyBorder="1" applyAlignment="1">
      <alignment horizontal="left" vertical="top" wrapText="1"/>
    </xf>
    <xf numFmtId="0" fontId="43" fillId="0" borderId="13" xfId="0" applyFont="1" applyBorder="1" applyAlignment="1" applyProtection="1">
      <alignment horizontal="left" vertical="top" wrapText="1" indent="2" readingOrder="1"/>
      <protection locked="0"/>
    </xf>
    <xf numFmtId="0" fontId="43" fillId="0" borderId="6" xfId="0" applyFont="1" applyBorder="1" applyAlignment="1" applyProtection="1">
      <alignment horizontal="left" vertical="top" wrapText="1" indent="2" readingOrder="1"/>
      <protection locked="0"/>
    </xf>
    <xf numFmtId="164" fontId="7" fillId="0" borderId="4" xfId="0" applyNumberFormat="1" applyFont="1" applyBorder="1" applyAlignment="1">
      <alignment horizontal="left" vertical="top" wrapText="1"/>
    </xf>
    <xf numFmtId="164" fontId="7" fillId="0" borderId="1" xfId="0" applyNumberFormat="1" applyFont="1" applyBorder="1" applyAlignment="1">
      <alignment horizontal="left" vertical="top" wrapText="1"/>
    </xf>
    <xf numFmtId="0" fontId="9" fillId="0" borderId="11" xfId="0" applyFont="1" applyBorder="1" applyAlignment="1">
      <alignment horizontal="left" vertical="top" wrapText="1"/>
    </xf>
    <xf numFmtId="0" fontId="9" fillId="0" borderId="12" xfId="0" applyFont="1" applyBorder="1" applyAlignment="1">
      <alignment horizontal="left" vertical="top" wrapText="1"/>
    </xf>
    <xf numFmtId="0" fontId="9" fillId="0" borderId="14" xfId="0" applyFont="1" applyBorder="1" applyAlignment="1">
      <alignment horizontal="left" vertical="top" wrapText="1"/>
    </xf>
    <xf numFmtId="164" fontId="7" fillId="0" borderId="9" xfId="0" applyNumberFormat="1" applyFont="1" applyBorder="1" applyAlignment="1">
      <alignment horizontal="left" vertical="top" wrapText="1"/>
    </xf>
    <xf numFmtId="164" fontId="7" fillId="0" borderId="2" xfId="0" applyNumberFormat="1" applyFont="1" applyBorder="1" applyAlignment="1">
      <alignment horizontal="left" vertical="top" wrapText="1"/>
    </xf>
    <xf numFmtId="0" fontId="7" fillId="0" borderId="37" xfId="0" applyFont="1" applyBorder="1" applyAlignment="1">
      <alignment horizontal="center" vertical="center"/>
    </xf>
    <xf numFmtId="0" fontId="7" fillId="0" borderId="38" xfId="0" applyFont="1" applyBorder="1" applyAlignment="1">
      <alignment horizontal="center" vertical="center"/>
    </xf>
    <xf numFmtId="0" fontId="7" fillId="0" borderId="39" xfId="0" applyFont="1" applyBorder="1" applyAlignment="1">
      <alignment horizontal="center" vertical="center"/>
    </xf>
    <xf numFmtId="0" fontId="7" fillId="0" borderId="40" xfId="0" applyFont="1" applyBorder="1" applyAlignment="1">
      <alignment horizontal="center" vertical="center"/>
    </xf>
    <xf numFmtId="164" fontId="7" fillId="0" borderId="13" xfId="0" applyNumberFormat="1" applyFont="1" applyBorder="1" applyAlignment="1">
      <alignment horizontal="center" vertical="center" wrapText="1"/>
    </xf>
    <xf numFmtId="164" fontId="7" fillId="0" borderId="6" xfId="0" applyNumberFormat="1" applyFont="1" applyBorder="1" applyAlignment="1">
      <alignment horizontal="center" vertical="center" wrapText="1"/>
    </xf>
    <xf numFmtId="0" fontId="7" fillId="0" borderId="8" xfId="0" applyFont="1" applyBorder="1" applyAlignment="1">
      <alignment horizontal="left" vertical="top" wrapText="1"/>
    </xf>
    <xf numFmtId="0" fontId="7" fillId="0" borderId="7" xfId="0" applyFont="1" applyBorder="1" applyAlignment="1">
      <alignment horizontal="left" vertical="top" wrapText="1"/>
    </xf>
    <xf numFmtId="0" fontId="7" fillId="0" borderId="10" xfId="0" applyFont="1" applyBorder="1" applyAlignment="1">
      <alignment horizontal="left" vertical="top" wrapText="1"/>
    </xf>
    <xf numFmtId="0" fontId="7" fillId="0" borderId="41" xfId="0" applyFont="1" applyBorder="1" applyAlignment="1">
      <alignment horizontal="center" vertical="center"/>
    </xf>
    <xf numFmtId="0" fontId="7" fillId="0" borderId="42" xfId="0" applyFont="1" applyBorder="1" applyAlignment="1">
      <alignment horizontal="center" vertical="center"/>
    </xf>
    <xf numFmtId="2" fontId="7" fillId="0" borderId="0" xfId="0" applyNumberFormat="1" applyFont="1" applyAlignment="1">
      <alignment horizontal="left" vertical="top" wrapText="1"/>
    </xf>
    <xf numFmtId="164" fontId="20" fillId="0" borderId="13" xfId="0" applyNumberFormat="1" applyFont="1" applyBorder="1" applyAlignment="1">
      <alignment horizontal="center" vertical="top" wrapText="1"/>
    </xf>
    <xf numFmtId="0" fontId="23" fillId="0" borderId="12" xfId="0" applyFont="1" applyBorder="1" applyAlignment="1">
      <alignment horizontal="left" vertical="top" wrapText="1"/>
    </xf>
    <xf numFmtId="0" fontId="22" fillId="0" borderId="8" xfId="0" applyFont="1" applyBorder="1" applyAlignment="1">
      <alignment horizontal="left" vertical="top" wrapText="1"/>
    </xf>
    <xf numFmtId="0" fontId="22" fillId="0" borderId="7" xfId="0" applyFont="1" applyBorder="1" applyAlignment="1">
      <alignment horizontal="left" vertical="top" wrapText="1"/>
    </xf>
    <xf numFmtId="0" fontId="22" fillId="0" borderId="10" xfId="0" applyFont="1" applyBorder="1" applyAlignment="1">
      <alignment horizontal="left" vertical="top" wrapText="1"/>
    </xf>
    <xf numFmtId="0" fontId="22" fillId="0" borderId="2" xfId="0" applyFont="1" applyBorder="1" applyAlignment="1">
      <alignment horizontal="left" vertical="top" wrapText="1"/>
    </xf>
    <xf numFmtId="0" fontId="22" fillId="0" borderId="1" xfId="0" applyFont="1" applyBorder="1" applyAlignment="1">
      <alignment horizontal="left" vertical="top" wrapText="1"/>
    </xf>
    <xf numFmtId="0" fontId="7" fillId="0" borderId="7" xfId="0" applyFont="1" applyBorder="1" applyAlignment="1">
      <alignment horizontal="left" vertical="center" wrapText="1"/>
    </xf>
    <xf numFmtId="0" fontId="20" fillId="0" borderId="11" xfId="0" applyFont="1" applyBorder="1" applyAlignment="1">
      <alignment horizontal="left" vertical="top" wrapText="1"/>
    </xf>
    <xf numFmtId="0" fontId="20" fillId="0" borderId="12" xfId="0" applyFont="1" applyBorder="1" applyAlignment="1">
      <alignment horizontal="left" vertical="top" wrapText="1"/>
    </xf>
    <xf numFmtId="0" fontId="20" fillId="0" borderId="14" xfId="0" applyFont="1" applyBorder="1" applyAlignment="1">
      <alignment horizontal="left" vertical="top" wrapText="1"/>
    </xf>
    <xf numFmtId="0" fontId="20" fillId="0" borderId="3" xfId="0" applyFont="1" applyBorder="1" applyAlignment="1">
      <alignment horizontal="left" vertical="top" wrapText="1"/>
    </xf>
    <xf numFmtId="0" fontId="7" fillId="0" borderId="5" xfId="0" applyFont="1" applyBorder="1" applyAlignment="1">
      <alignment horizontal="left" vertical="top" wrapText="1"/>
    </xf>
    <xf numFmtId="0" fontId="0" fillId="0" borderId="12" xfId="0" applyBorder="1" applyAlignment="1">
      <alignment horizontal="left" vertical="top"/>
    </xf>
    <xf numFmtId="0" fontId="15" fillId="0" borderId="12" xfId="0" applyFont="1" applyBorder="1" applyAlignment="1">
      <alignment horizontal="left" vertical="top"/>
    </xf>
    <xf numFmtId="0" fontId="15" fillId="0" borderId="14" xfId="0" applyFont="1" applyBorder="1" applyAlignment="1">
      <alignment horizontal="left" vertical="top"/>
    </xf>
    <xf numFmtId="164" fontId="7" fillId="0" borderId="8" xfId="0" applyNumberFormat="1" applyFont="1" applyBorder="1" applyAlignment="1">
      <alignment horizontal="center" vertical="top"/>
    </xf>
    <xf numFmtId="0" fontId="0" fillId="0" borderId="9" xfId="0" applyBorder="1" applyAlignment="1">
      <alignment horizontal="center" vertical="top"/>
    </xf>
    <xf numFmtId="0" fontId="6" fillId="0" borderId="3" xfId="0" applyFont="1" applyBorder="1" applyAlignment="1">
      <alignment horizontal="center" vertical="top" wrapText="1"/>
    </xf>
    <xf numFmtId="0" fontId="0" fillId="0" borderId="3" xfId="0" applyBorder="1" applyAlignment="1">
      <alignment horizontal="center" vertical="top" wrapText="1"/>
    </xf>
    <xf numFmtId="0" fontId="7" fillId="0" borderId="11" xfId="0" applyFont="1" applyBorder="1" applyAlignment="1">
      <alignment vertical="top" wrapText="1"/>
    </xf>
    <xf numFmtId="0" fontId="7" fillId="0" borderId="14" xfId="0" applyFont="1" applyBorder="1" applyAlignment="1">
      <alignment vertical="top" wrapText="1"/>
    </xf>
    <xf numFmtId="164" fontId="7" fillId="0" borderId="4" xfId="0" applyNumberFormat="1" applyFont="1" applyBorder="1" applyAlignment="1">
      <alignment horizontal="left" vertical="top"/>
    </xf>
    <xf numFmtId="164" fontId="0" fillId="0" borderId="4" xfId="0" applyNumberFormat="1" applyBorder="1" applyAlignment="1">
      <alignment horizontal="left" vertical="top"/>
    </xf>
    <xf numFmtId="164" fontId="0" fillId="0" borderId="1" xfId="0" applyNumberFormat="1" applyBorder="1" applyAlignment="1">
      <alignment horizontal="left" vertical="top"/>
    </xf>
    <xf numFmtId="0" fontId="0" fillId="0" borderId="4" xfId="0" applyBorder="1" applyAlignment="1">
      <alignment horizontal="left" vertical="top"/>
    </xf>
    <xf numFmtId="0" fontId="7" fillId="0" borderId="13" xfId="0" applyFont="1" applyBorder="1" applyAlignment="1">
      <alignment horizontal="center" vertical="top" wrapText="1"/>
    </xf>
    <xf numFmtId="164" fontId="7" fillId="0" borderId="8" xfId="0" applyNumberFormat="1" applyFont="1" applyBorder="1" applyAlignment="1">
      <alignment horizontal="center" vertical="top" wrapText="1"/>
    </xf>
    <xf numFmtId="164" fontId="0" fillId="0" borderId="9" xfId="0" applyNumberFormat="1" applyBorder="1" applyAlignment="1">
      <alignment horizontal="center" vertical="top"/>
    </xf>
    <xf numFmtId="164" fontId="0" fillId="0" borderId="2" xfId="0" applyNumberFormat="1" applyBorder="1" applyAlignment="1">
      <alignment horizontal="center" vertical="top"/>
    </xf>
    <xf numFmtId="0" fontId="7" fillId="0" borderId="4" xfId="0" applyFont="1" applyBorder="1" applyAlignment="1">
      <alignment horizontal="left" vertical="top" wrapText="1"/>
    </xf>
    <xf numFmtId="0" fontId="0" fillId="0" borderId="14" xfId="0" applyBorder="1" applyAlignment="1">
      <alignment horizontal="left" vertical="top"/>
    </xf>
    <xf numFmtId="164" fontId="7" fillId="0" borderId="2" xfId="0" applyNumberFormat="1" applyFont="1" applyBorder="1" applyAlignment="1">
      <alignment horizontal="center" vertical="top"/>
    </xf>
    <xf numFmtId="164" fontId="7" fillId="0" borderId="9" xfId="0" applyNumberFormat="1" applyFont="1" applyBorder="1" applyAlignment="1">
      <alignment horizontal="center" vertical="top"/>
    </xf>
    <xf numFmtId="0" fontId="14" fillId="0" borderId="0" xfId="0" applyFont="1" applyAlignment="1">
      <alignment horizontal="center" vertical="top"/>
    </xf>
    <xf numFmtId="0" fontId="6" fillId="0" borderId="0" xfId="0" applyFont="1" applyAlignment="1">
      <alignment horizontal="center" vertical="top" wrapText="1"/>
    </xf>
    <xf numFmtId="0" fontId="0" fillId="0" borderId="0" xfId="0" applyAlignment="1">
      <alignment horizontal="center" vertical="top"/>
    </xf>
    <xf numFmtId="0" fontId="7" fillId="0" borderId="3" xfId="0" applyFont="1" applyBorder="1" applyAlignment="1">
      <alignment horizontal="left" vertical="top" wrapText="1"/>
    </xf>
    <xf numFmtId="164" fontId="0" fillId="0" borderId="9" xfId="0" applyNumberFormat="1" applyBorder="1" applyAlignment="1">
      <alignment horizontal="center" vertical="top" wrapText="1"/>
    </xf>
    <xf numFmtId="164" fontId="0" fillId="0" borderId="2" xfId="0" applyNumberFormat="1" applyBorder="1" applyAlignment="1">
      <alignment horizontal="center" vertical="top" wrapText="1"/>
    </xf>
    <xf numFmtId="0" fontId="7" fillId="0" borderId="0" xfId="0" applyFont="1" applyAlignment="1">
      <alignment horizontal="center" vertical="top"/>
    </xf>
    <xf numFmtId="0" fontId="7" fillId="0" borderId="4" xfId="0" applyFont="1" applyBorder="1" applyAlignment="1">
      <alignment horizontal="center" vertical="top"/>
    </xf>
    <xf numFmtId="0" fontId="26" fillId="0" borderId="0" xfId="0" applyFont="1" applyAlignment="1">
      <alignment vertical="center" wrapText="1"/>
    </xf>
    <xf numFmtId="0" fontId="6" fillId="0" borderId="3" xfId="0" applyFont="1" applyBorder="1" applyAlignment="1">
      <alignment horizontal="left" vertical="top" wrapText="1"/>
    </xf>
    <xf numFmtId="0" fontId="6" fillId="0" borderId="1" xfId="0" applyFont="1" applyBorder="1" applyAlignment="1">
      <alignment horizontal="left" vertical="top" wrapText="1"/>
    </xf>
    <xf numFmtId="164" fontId="7" fillId="0" borderId="9"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0" fontId="7" fillId="0" borderId="0" xfId="0" applyFont="1" applyAlignment="1">
      <alignment horizontal="left" vertical="center" wrapText="1"/>
    </xf>
    <xf numFmtId="0" fontId="7" fillId="0" borderId="1" xfId="0" applyFont="1" applyBorder="1" applyAlignment="1">
      <alignment horizontal="center" vertical="top"/>
    </xf>
    <xf numFmtId="164" fontId="7" fillId="0" borderId="8" xfId="0" applyNumberFormat="1" applyFont="1" applyBorder="1" applyAlignment="1">
      <alignment horizontal="center" vertical="center" wrapText="1"/>
    </xf>
    <xf numFmtId="164" fontId="7" fillId="0" borderId="10" xfId="0" applyNumberFormat="1" applyFont="1" applyBorder="1" applyAlignment="1">
      <alignment horizontal="center" vertical="center" wrapText="1"/>
    </xf>
    <xf numFmtId="0" fontId="7" fillId="0" borderId="9" xfId="0" applyFont="1" applyBorder="1" applyAlignment="1">
      <alignment horizontal="left" vertical="top" wrapText="1"/>
    </xf>
    <xf numFmtId="0" fontId="11" fillId="0" borderId="0" xfId="0" applyFont="1" applyAlignment="1">
      <alignment horizontal="left" vertical="top" wrapText="1"/>
    </xf>
    <xf numFmtId="0" fontId="11" fillId="0" borderId="16" xfId="0" applyFont="1" applyBorder="1" applyAlignment="1">
      <alignment horizontal="left" vertical="top" wrapText="1"/>
    </xf>
    <xf numFmtId="0" fontId="11" fillId="0" borderId="22" xfId="0" applyFont="1" applyBorder="1" applyAlignment="1">
      <alignment horizontal="left" vertical="top" wrapText="1"/>
    </xf>
    <xf numFmtId="0" fontId="11" fillId="0" borderId="23" xfId="0" applyFont="1" applyBorder="1" applyAlignment="1">
      <alignment horizontal="left" vertical="top" wrapText="1"/>
    </xf>
    <xf numFmtId="0" fontId="11" fillId="0" borderId="18" xfId="0" applyFont="1" applyBorder="1" applyAlignment="1">
      <alignment horizontal="left" vertical="top" wrapText="1"/>
    </xf>
    <xf numFmtId="0" fontId="7" fillId="0" borderId="15" xfId="0" applyFont="1" applyBorder="1" applyAlignment="1">
      <alignment vertical="center" wrapText="1"/>
    </xf>
    <xf numFmtId="164" fontId="7" fillId="0" borderId="11" xfId="0" applyNumberFormat="1" applyFont="1" applyBorder="1" applyAlignment="1">
      <alignment horizontal="left" vertical="center" wrapText="1"/>
    </xf>
    <xf numFmtId="0" fontId="9" fillId="0" borderId="12" xfId="0" applyFont="1" applyBorder="1" applyAlignment="1">
      <alignment vertical="center" wrapText="1"/>
    </xf>
    <xf numFmtId="0" fontId="9" fillId="0" borderId="8" xfId="0" applyFont="1" applyBorder="1" applyAlignment="1">
      <alignment horizontal="left" vertical="center" wrapText="1"/>
    </xf>
    <xf numFmtId="0" fontId="9" fillId="0" borderId="7" xfId="0" applyFont="1" applyBorder="1" applyAlignment="1">
      <alignment horizontal="left" vertical="center" wrapText="1"/>
    </xf>
    <xf numFmtId="0" fontId="9" fillId="0" borderId="10" xfId="0" applyFont="1" applyBorder="1" applyAlignment="1">
      <alignment horizontal="left" vertical="center" wrapText="1"/>
    </xf>
    <xf numFmtId="0" fontId="7" fillId="0" borderId="2" xfId="0" applyFont="1" applyBorder="1" applyAlignment="1">
      <alignment horizontal="left" vertical="top" wrapText="1"/>
    </xf>
    <xf numFmtId="0" fontId="7" fillId="0" borderId="1" xfId="0" applyFont="1" applyBorder="1" applyAlignment="1">
      <alignment horizontal="left" vertical="top" wrapText="1"/>
    </xf>
    <xf numFmtId="164" fontId="7" fillId="0" borderId="8" xfId="0" applyNumberFormat="1" applyFont="1" applyBorder="1" applyAlignment="1">
      <alignment horizontal="left" vertical="center" wrapText="1"/>
    </xf>
    <xf numFmtId="164" fontId="7" fillId="0" borderId="10" xfId="0" applyNumberFormat="1" applyFont="1" applyBorder="1" applyAlignment="1">
      <alignment horizontal="left" vertical="center" wrapText="1"/>
    </xf>
    <xf numFmtId="0" fontId="39" fillId="0" borderId="3" xfId="0" applyFont="1" applyBorder="1" applyAlignment="1">
      <alignment horizontal="left" vertical="top" wrapText="1"/>
    </xf>
    <xf numFmtId="0" fontId="11" fillId="0" borderId="19" xfId="0" applyFont="1" applyBorder="1" applyAlignment="1">
      <alignment horizontal="left" vertical="top" wrapText="1"/>
    </xf>
    <xf numFmtId="0" fontId="7" fillId="0" borderId="15" xfId="0" applyFont="1" applyBorder="1" applyAlignment="1">
      <alignment horizontal="left" vertical="top" wrapText="1"/>
    </xf>
    <xf numFmtId="0" fontId="44" fillId="0" borderId="58" xfId="0" applyFont="1" applyBorder="1" applyAlignment="1">
      <alignment horizontal="left" vertical="top" wrapText="1"/>
    </xf>
    <xf numFmtId="0" fontId="44" fillId="0" borderId="59" xfId="0" applyFont="1" applyBorder="1" applyAlignment="1">
      <alignment horizontal="left" vertical="top" wrapText="1"/>
    </xf>
    <xf numFmtId="0" fontId="6" fillId="0" borderId="3" xfId="0" applyFont="1" applyBorder="1" applyAlignment="1">
      <alignment horizontal="left" vertical="center" wrapText="1"/>
    </xf>
    <xf numFmtId="164" fontId="12" fillId="0" borderId="0" xfId="0" applyNumberFormat="1" applyFont="1" applyAlignment="1">
      <alignment horizontal="center" vertical="top" wrapText="1"/>
    </xf>
    <xf numFmtId="0" fontId="7" fillId="0" borderId="37" xfId="0" applyFont="1" applyBorder="1" applyAlignment="1">
      <alignment horizontal="center" vertical="center" wrapText="1"/>
    </xf>
    <xf numFmtId="0" fontId="7" fillId="0" borderId="38" xfId="0" applyFont="1" applyBorder="1" applyAlignment="1">
      <alignment horizontal="center" vertical="center" wrapText="1"/>
    </xf>
    <xf numFmtId="0" fontId="34" fillId="0" borderId="24" xfId="0" applyFont="1" applyBorder="1" applyAlignment="1">
      <alignment horizontal="center" vertical="center" wrapText="1"/>
    </xf>
    <xf numFmtId="0" fontId="7" fillId="0" borderId="3" xfId="0" applyFont="1" applyBorder="1" applyAlignment="1">
      <alignment horizontal="left" vertical="top"/>
    </xf>
    <xf numFmtId="0" fontId="7" fillId="0" borderId="1" xfId="0" applyFont="1" applyBorder="1" applyAlignment="1">
      <alignment horizontal="left" vertical="top"/>
    </xf>
    <xf numFmtId="0" fontId="6" fillId="0" borderId="8" xfId="0" applyFont="1" applyBorder="1" applyAlignment="1">
      <alignment horizontal="left" vertical="center" wrapText="1"/>
    </xf>
    <xf numFmtId="0" fontId="6" fillId="0" borderId="7" xfId="0" applyFont="1" applyBorder="1" applyAlignment="1">
      <alignment horizontal="left" vertical="center" wrapText="1"/>
    </xf>
    <xf numFmtId="0" fontId="6" fillId="0" borderId="10" xfId="0" applyFont="1" applyBorder="1" applyAlignment="1">
      <alignment horizontal="left" vertical="center" wrapText="1"/>
    </xf>
    <xf numFmtId="0" fontId="7" fillId="0" borderId="8"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36" xfId="0" applyFont="1" applyBorder="1" applyAlignment="1">
      <alignment horizontal="center" vertical="center" wrapText="1"/>
    </xf>
    <xf numFmtId="10" fontId="6" fillId="0" borderId="9" xfId="0" applyNumberFormat="1" applyFont="1" applyBorder="1" applyAlignment="1">
      <alignment horizontal="center" vertical="top" wrapText="1"/>
    </xf>
    <xf numFmtId="10" fontId="6" fillId="0" borderId="0" xfId="0" applyNumberFormat="1" applyFont="1" applyAlignment="1">
      <alignment horizontal="center" vertical="top" wrapText="1"/>
    </xf>
    <xf numFmtId="0" fontId="7" fillId="0" borderId="39" xfId="0" applyFont="1" applyBorder="1" applyAlignment="1">
      <alignment horizontal="center" vertical="center" wrapText="1"/>
    </xf>
    <xf numFmtId="0" fontId="7" fillId="0" borderId="40" xfId="0" applyFont="1" applyBorder="1" applyAlignment="1">
      <alignment horizontal="center" vertical="center" wrapText="1"/>
    </xf>
    <xf numFmtId="0" fontId="7" fillId="0" borderId="43" xfId="0" applyFont="1" applyBorder="1" applyAlignment="1">
      <alignment horizontal="left" vertical="top"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6" fillId="0" borderId="0" xfId="0" applyFont="1" applyAlignment="1">
      <alignment horizontal="left" vertical="top" wrapText="1"/>
    </xf>
    <xf numFmtId="0" fontId="7" fillId="0" borderId="14" xfId="0" applyFont="1" applyBorder="1" applyAlignment="1">
      <alignment horizontal="left" vertical="center" wrapText="1"/>
    </xf>
    <xf numFmtId="164" fontId="7" fillId="0" borderId="8" xfId="0" applyNumberFormat="1" applyFont="1" applyBorder="1" applyAlignment="1">
      <alignment horizontal="right" vertical="top"/>
    </xf>
    <xf numFmtId="0" fontId="0" fillId="0" borderId="2" xfId="0" applyBorder="1" applyAlignment="1">
      <alignment horizontal="right" vertical="top"/>
    </xf>
    <xf numFmtId="164" fontId="7" fillId="0" borderId="9" xfId="0" applyNumberFormat="1" applyFont="1" applyBorder="1" applyAlignment="1">
      <alignment horizontal="right" vertical="top"/>
    </xf>
    <xf numFmtId="0" fontId="0" fillId="0" borderId="9" xfId="0" applyBorder="1" applyAlignment="1">
      <alignment horizontal="right" vertical="top"/>
    </xf>
    <xf numFmtId="0" fontId="0" fillId="0" borderId="2" xfId="0" applyBorder="1" applyAlignment="1">
      <alignment horizontal="center" vertical="top"/>
    </xf>
    <xf numFmtId="0" fontId="0" fillId="0" borderId="1" xfId="0" applyBorder="1" applyAlignment="1">
      <alignment horizontal="left" vertical="top"/>
    </xf>
    <xf numFmtId="0" fontId="0" fillId="0" borderId="14" xfId="0" applyBorder="1" applyAlignment="1">
      <alignment horizontal="left" vertical="top" wrapText="1"/>
    </xf>
    <xf numFmtId="0" fontId="17" fillId="0" borderId="0" xfId="0" applyFont="1" applyAlignment="1">
      <alignment vertical="top"/>
    </xf>
    <xf numFmtId="164" fontId="6" fillId="0" borderId="0" xfId="0" applyNumberFormat="1" applyFont="1" applyAlignment="1">
      <alignment horizontal="center" vertical="top" wrapText="1"/>
    </xf>
    <xf numFmtId="0" fontId="15" fillId="0" borderId="12" xfId="0" applyFont="1" applyBorder="1" applyAlignment="1">
      <alignment horizontal="left" vertical="top" wrapText="1"/>
    </xf>
    <xf numFmtId="0" fontId="15" fillId="0" borderId="14" xfId="0" applyFont="1" applyBorder="1" applyAlignment="1">
      <alignment horizontal="left" vertical="top" wrapText="1"/>
    </xf>
    <xf numFmtId="0" fontId="7" fillId="0" borderId="2" xfId="0" applyFont="1" applyBorder="1" applyAlignment="1">
      <alignment horizontal="left" vertical="top"/>
    </xf>
    <xf numFmtId="0" fontId="7" fillId="0" borderId="8" xfId="0" applyFont="1" applyBorder="1" applyAlignment="1">
      <alignment horizontal="center" vertical="top" wrapText="1"/>
    </xf>
    <xf numFmtId="0" fontId="7" fillId="0" borderId="7" xfId="0" applyFont="1" applyBorder="1" applyAlignment="1">
      <alignment horizontal="center" vertical="top" wrapText="1"/>
    </xf>
    <xf numFmtId="0" fontId="7" fillId="0" borderId="10" xfId="0" applyFont="1" applyBorder="1" applyAlignment="1">
      <alignment horizontal="center" vertical="top" wrapText="1"/>
    </xf>
    <xf numFmtId="0" fontId="7" fillId="0" borderId="5" xfId="0" applyFont="1" applyBorder="1" applyAlignment="1">
      <alignment horizontal="left" vertical="center" wrapText="1"/>
    </xf>
    <xf numFmtId="0" fontId="7" fillId="0" borderId="7" xfId="0" applyFont="1" applyBorder="1" applyAlignment="1">
      <alignment horizontal="center" vertical="center" wrapText="1"/>
    </xf>
    <xf numFmtId="0" fontId="7" fillId="0" borderId="15" xfId="0" applyFont="1" applyBorder="1" applyAlignment="1">
      <alignment vertical="top" wrapText="1"/>
    </xf>
    <xf numFmtId="0" fontId="7" fillId="0" borderId="8" xfId="0" quotePrefix="1" applyFont="1" applyBorder="1" applyAlignment="1">
      <alignment vertical="center" wrapText="1"/>
    </xf>
    <xf numFmtId="0" fontId="7" fillId="0" borderId="10" xfId="0" applyFont="1" applyBorder="1" applyAlignment="1">
      <alignment vertical="center" wrapText="1"/>
    </xf>
    <xf numFmtId="0" fontId="7" fillId="0" borderId="9" xfId="0" quotePrefix="1" applyFont="1" applyBorder="1" applyAlignment="1">
      <alignment vertical="center" wrapText="1"/>
    </xf>
    <xf numFmtId="0" fontId="7" fillId="0" borderId="4" xfId="0" applyFont="1" applyBorder="1" applyAlignment="1">
      <alignment vertical="center" wrapText="1"/>
    </xf>
    <xf numFmtId="0" fontId="7" fillId="0" borderId="2" xfId="0" quotePrefix="1" applyFont="1" applyBorder="1" applyAlignment="1">
      <alignment vertical="center" wrapText="1"/>
    </xf>
    <xf numFmtId="0" fontId="7" fillId="0" borderId="1" xfId="0" applyFont="1" applyBorder="1" applyAlignment="1">
      <alignment vertical="center" wrapText="1"/>
    </xf>
    <xf numFmtId="0" fontId="6" fillId="0" borderId="13"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7" fillId="0" borderId="17" xfId="0" applyFont="1" applyBorder="1" applyAlignment="1">
      <alignment horizontal="left" vertical="center" wrapText="1" indent="2"/>
    </xf>
    <xf numFmtId="0" fontId="7" fillId="0" borderId="20" xfId="0" applyFont="1" applyBorder="1" applyAlignment="1">
      <alignment horizontal="left" vertical="center" wrapText="1" indent="2"/>
    </xf>
    <xf numFmtId="0" fontId="7" fillId="0" borderId="21" xfId="0" applyFont="1" applyBorder="1" applyAlignment="1">
      <alignment horizontal="left" vertical="center" wrapText="1" indent="2"/>
    </xf>
    <xf numFmtId="0" fontId="29" fillId="0" borderId="0" xfId="0" applyFont="1" applyAlignment="1">
      <alignment vertical="center" wrapText="1"/>
    </xf>
    <xf numFmtId="0" fontId="9" fillId="0" borderId="0" xfId="0" applyFont="1" applyAlignment="1">
      <alignment horizontal="left" vertical="center" wrapText="1"/>
    </xf>
    <xf numFmtId="0" fontId="27" fillId="0" borderId="0" xfId="0" applyFont="1" applyAlignment="1">
      <alignment vertical="center" wrapText="1"/>
    </xf>
    <xf numFmtId="164" fontId="7" fillId="0" borderId="7" xfId="0" applyNumberFormat="1" applyFont="1" applyBorder="1" applyAlignment="1">
      <alignment horizontal="left" vertical="top" wrapText="1"/>
    </xf>
    <xf numFmtId="164" fontId="7" fillId="0" borderId="0" xfId="0" applyNumberFormat="1" applyFont="1" applyAlignment="1">
      <alignment horizontal="left" vertical="top" wrapText="1"/>
    </xf>
    <xf numFmtId="164" fontId="7" fillId="0" borderId="3" xfId="0" applyNumberFormat="1" applyFont="1" applyBorder="1" applyAlignment="1">
      <alignment horizontal="left" vertical="top" wrapText="1"/>
    </xf>
    <xf numFmtId="164" fontId="7" fillId="0" borderId="51" xfId="0" applyNumberFormat="1" applyFont="1" applyBorder="1" applyAlignment="1">
      <alignment horizontal="left" vertical="top" wrapText="1"/>
    </xf>
    <xf numFmtId="164" fontId="7" fillId="0" borderId="52" xfId="0" applyNumberFormat="1" applyFont="1" applyBorder="1" applyAlignment="1">
      <alignment horizontal="left" vertical="top" wrapText="1"/>
    </xf>
    <xf numFmtId="0" fontId="0" fillId="0" borderId="13"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7" fillId="0" borderId="29" xfId="0" applyFont="1" applyBorder="1" applyAlignment="1">
      <alignment vertical="center" wrapText="1"/>
    </xf>
    <xf numFmtId="0" fontId="7" fillId="0" borderId="30" xfId="0" applyFont="1" applyBorder="1" applyAlignment="1">
      <alignment vertical="center" wrapText="1"/>
    </xf>
    <xf numFmtId="0" fontId="0" fillId="0" borderId="13"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164" fontId="7" fillId="0" borderId="53" xfId="0" applyNumberFormat="1" applyFont="1" applyBorder="1" applyAlignment="1">
      <alignment horizontal="left" vertical="top" wrapText="1"/>
    </xf>
    <xf numFmtId="164" fontId="7" fillId="0" borderId="54" xfId="0" applyNumberFormat="1" applyFont="1" applyBorder="1" applyAlignment="1">
      <alignment horizontal="left" vertical="top" wrapText="1"/>
    </xf>
    <xf numFmtId="0" fontId="7" fillId="0" borderId="33" xfId="0" applyFont="1" applyBorder="1" applyAlignment="1">
      <alignment horizontal="left" vertical="top" wrapText="1"/>
    </xf>
    <xf numFmtId="0" fontId="4" fillId="0" borderId="12" xfId="0" applyFont="1" applyBorder="1" applyAlignment="1">
      <alignment horizontal="left" vertical="top" wrapText="1"/>
    </xf>
    <xf numFmtId="0" fontId="4" fillId="0" borderId="14" xfId="0" applyFont="1" applyBorder="1" applyAlignment="1">
      <alignment horizontal="left" vertical="top" wrapText="1"/>
    </xf>
    <xf numFmtId="0" fontId="7" fillId="0" borderId="25" xfId="0" applyFont="1" applyBorder="1" applyAlignment="1">
      <alignment horizontal="left" vertical="top" wrapText="1"/>
    </xf>
    <xf numFmtId="0" fontId="7" fillId="0" borderId="32" xfId="0" applyFont="1" applyBorder="1" applyAlignment="1">
      <alignment horizontal="left" vertical="top" wrapText="1"/>
    </xf>
    <xf numFmtId="0" fontId="26" fillId="0" borderId="0" xfId="0" applyFont="1" applyAlignment="1">
      <alignment horizontal="center" vertical="center" wrapText="1"/>
    </xf>
    <xf numFmtId="0" fontId="7" fillId="0" borderId="5" xfId="0" applyFont="1" applyBorder="1" applyAlignment="1">
      <alignment horizontal="center" vertical="center" wrapText="1"/>
    </xf>
    <xf numFmtId="0" fontId="7" fillId="0" borderId="0" xfId="0" applyFont="1" applyAlignment="1">
      <alignment horizontal="center" vertical="top" wrapText="1"/>
    </xf>
    <xf numFmtId="0" fontId="7" fillId="0" borderId="4" xfId="0" applyFont="1" applyBorder="1" applyAlignment="1">
      <alignment horizontal="center"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64"/>
  <sheetViews>
    <sheetView view="pageLayout" workbookViewId="0">
      <selection activeCell="D44" sqref="D44:E44"/>
    </sheetView>
  </sheetViews>
  <sheetFormatPr defaultColWidth="8.765625" defaultRowHeight="13.5" x14ac:dyDescent="0.3"/>
  <cols>
    <col min="1" max="1" width="2.61328125" customWidth="1"/>
    <col min="2" max="2" width="4.23046875" style="147" customWidth="1"/>
    <col min="3" max="3" width="36.23046875" style="13" customWidth="1"/>
    <col min="4" max="4" width="3.765625" customWidth="1"/>
    <col min="5" max="5" width="38" customWidth="1"/>
    <col min="6" max="6" width="24.3828125" customWidth="1"/>
  </cols>
  <sheetData>
    <row r="1" spans="1:6" ht="15.75" customHeight="1" x14ac:dyDescent="0.3">
      <c r="B1" s="391" t="s">
        <v>431</v>
      </c>
      <c r="C1" s="391"/>
      <c r="D1" s="391"/>
      <c r="E1" s="391"/>
      <c r="F1" s="120"/>
    </row>
    <row r="2" spans="1:6" ht="7.5" customHeight="1" x14ac:dyDescent="0.3"/>
    <row r="3" spans="1:6" ht="21" customHeight="1" x14ac:dyDescent="0.3">
      <c r="A3" s="392" t="s">
        <v>627</v>
      </c>
      <c r="B3" s="392"/>
      <c r="C3" s="392"/>
      <c r="D3" s="392"/>
      <c r="E3" s="392"/>
      <c r="F3" s="144"/>
    </row>
    <row r="4" spans="1:6" ht="8.25" customHeight="1" x14ac:dyDescent="0.3">
      <c r="B4" s="154"/>
      <c r="C4" s="154"/>
      <c r="D4" s="154"/>
      <c r="E4" s="154"/>
      <c r="F4" s="154"/>
    </row>
    <row r="5" spans="1:6" ht="15.75" customHeight="1" x14ac:dyDescent="0.3">
      <c r="B5" s="7" t="s">
        <v>642</v>
      </c>
      <c r="C5" s="43" t="s">
        <v>663</v>
      </c>
      <c r="D5" s="394" t="s">
        <v>647</v>
      </c>
      <c r="E5" s="395"/>
      <c r="F5" s="162" t="s">
        <v>648</v>
      </c>
    </row>
    <row r="6" spans="1:6" ht="27" customHeight="1" x14ac:dyDescent="0.3">
      <c r="A6" s="181" t="s">
        <v>432</v>
      </c>
      <c r="B6" s="182">
        <v>1</v>
      </c>
      <c r="C6" s="142" t="s">
        <v>494</v>
      </c>
      <c r="D6" s="375" t="s">
        <v>495</v>
      </c>
      <c r="E6" s="376"/>
      <c r="F6" s="152"/>
    </row>
    <row r="7" spans="1:6" ht="28.5" customHeight="1" x14ac:dyDescent="0.3">
      <c r="A7" s="181" t="s">
        <v>432</v>
      </c>
      <c r="B7" s="182">
        <f>B6+1</f>
        <v>2</v>
      </c>
      <c r="C7" s="142" t="s">
        <v>67</v>
      </c>
      <c r="D7" s="375" t="s">
        <v>68</v>
      </c>
      <c r="E7" s="376"/>
      <c r="F7" s="152"/>
    </row>
    <row r="8" spans="1:6" x14ac:dyDescent="0.3">
      <c r="A8" s="124" t="s">
        <v>432</v>
      </c>
      <c r="B8" s="183">
        <f>B7+1</f>
        <v>3</v>
      </c>
      <c r="C8" s="139" t="s">
        <v>149</v>
      </c>
      <c r="D8" s="54">
        <v>1</v>
      </c>
      <c r="E8" s="323" t="s">
        <v>151</v>
      </c>
      <c r="F8" s="152"/>
    </row>
    <row r="9" spans="1:6" x14ac:dyDescent="0.3">
      <c r="A9" s="123"/>
      <c r="B9" s="184"/>
      <c r="C9" s="164"/>
      <c r="D9" s="44">
        <f>D8+1</f>
        <v>2</v>
      </c>
      <c r="E9" s="98" t="s">
        <v>150</v>
      </c>
      <c r="F9" s="152"/>
    </row>
    <row r="10" spans="1:6" x14ac:dyDescent="0.3">
      <c r="A10" s="52"/>
      <c r="B10" s="186"/>
      <c r="C10" s="333"/>
      <c r="D10" s="44">
        <f>D9+1</f>
        <v>3</v>
      </c>
      <c r="E10" s="324" t="s">
        <v>155</v>
      </c>
      <c r="F10" s="152"/>
    </row>
    <row r="11" spans="1:6" ht="143.25" customHeight="1" x14ac:dyDescent="0.3">
      <c r="A11" s="123" t="s">
        <v>432</v>
      </c>
      <c r="B11" s="184">
        <f>B8+1</f>
        <v>4</v>
      </c>
      <c r="C11" s="334" t="s">
        <v>450</v>
      </c>
      <c r="D11" s="402" t="s">
        <v>156</v>
      </c>
      <c r="E11" s="403"/>
      <c r="F11" s="74"/>
    </row>
    <row r="12" spans="1:6" ht="33" customHeight="1" x14ac:dyDescent="0.3">
      <c r="A12" s="181" t="s">
        <v>432</v>
      </c>
      <c r="B12" s="182">
        <f>B11+1</f>
        <v>5</v>
      </c>
      <c r="C12" s="142" t="s">
        <v>269</v>
      </c>
      <c r="D12" s="375" t="s">
        <v>515</v>
      </c>
      <c r="E12" s="376"/>
      <c r="F12" s="152"/>
    </row>
    <row r="13" spans="1:6" ht="34.5" customHeight="1" x14ac:dyDescent="0.3">
      <c r="A13" s="181" t="s">
        <v>432</v>
      </c>
      <c r="B13" s="182">
        <v>6</v>
      </c>
      <c r="C13" s="142" t="s">
        <v>496</v>
      </c>
      <c r="D13" s="375" t="s">
        <v>515</v>
      </c>
      <c r="E13" s="376"/>
      <c r="F13" s="152"/>
    </row>
    <row r="14" spans="1:6" ht="30" customHeight="1" x14ac:dyDescent="0.3">
      <c r="A14" s="181" t="s">
        <v>432</v>
      </c>
      <c r="B14" s="182">
        <f t="shared" ref="B14" si="0">B13+1</f>
        <v>7</v>
      </c>
      <c r="C14" s="142" t="s">
        <v>497</v>
      </c>
      <c r="D14" s="375" t="s">
        <v>515</v>
      </c>
      <c r="E14" s="376"/>
      <c r="F14" s="152"/>
    </row>
    <row r="15" spans="1:6" ht="33.75" customHeight="1" x14ac:dyDescent="0.3">
      <c r="A15" s="181" t="s">
        <v>432</v>
      </c>
      <c r="B15" s="182">
        <f>B14+1</f>
        <v>8</v>
      </c>
      <c r="C15" s="142" t="s">
        <v>72</v>
      </c>
      <c r="D15" s="375" t="s">
        <v>515</v>
      </c>
      <c r="E15" s="376"/>
      <c r="F15" s="152"/>
    </row>
    <row r="16" spans="1:6" ht="31.5" customHeight="1" x14ac:dyDescent="0.3">
      <c r="A16" s="396" t="s">
        <v>116</v>
      </c>
      <c r="B16" s="397"/>
      <c r="C16" s="142" t="s">
        <v>451</v>
      </c>
      <c r="D16" s="375" t="s">
        <v>153</v>
      </c>
      <c r="E16" s="376"/>
      <c r="F16" s="152"/>
    </row>
    <row r="17" spans="1:6" ht="34.5" customHeight="1" x14ac:dyDescent="0.3">
      <c r="A17" s="396" t="s">
        <v>115</v>
      </c>
      <c r="B17" s="397"/>
      <c r="C17" s="142" t="s">
        <v>152</v>
      </c>
      <c r="D17" s="375" t="s">
        <v>153</v>
      </c>
      <c r="E17" s="376"/>
      <c r="F17" s="152"/>
    </row>
    <row r="18" spans="1:6" ht="23.25" customHeight="1" x14ac:dyDescent="0.3">
      <c r="A18" s="396" t="s">
        <v>117</v>
      </c>
      <c r="B18" s="397"/>
      <c r="C18" s="142" t="s">
        <v>154</v>
      </c>
      <c r="D18" s="375" t="s">
        <v>71</v>
      </c>
      <c r="E18" s="376"/>
      <c r="F18" s="107"/>
    </row>
    <row r="19" spans="1:6" ht="21" customHeight="1" x14ac:dyDescent="0.3">
      <c r="A19" s="181" t="s">
        <v>432</v>
      </c>
      <c r="B19" s="182">
        <v>9</v>
      </c>
      <c r="C19" s="142" t="s">
        <v>118</v>
      </c>
      <c r="D19" s="375" t="s">
        <v>515</v>
      </c>
      <c r="E19" s="376"/>
      <c r="F19" s="107"/>
    </row>
    <row r="20" spans="1:6" ht="23.25" customHeight="1" x14ac:dyDescent="0.3">
      <c r="A20" s="181" t="s">
        <v>432</v>
      </c>
      <c r="B20" s="182">
        <f t="shared" ref="B20:B22" si="1">B19+1</f>
        <v>10</v>
      </c>
      <c r="C20" s="142" t="s">
        <v>119</v>
      </c>
      <c r="D20" s="385" t="s">
        <v>706</v>
      </c>
      <c r="E20" s="386"/>
      <c r="F20" s="107"/>
    </row>
    <row r="21" spans="1:6" ht="21" customHeight="1" x14ac:dyDescent="0.3">
      <c r="A21" s="181" t="s">
        <v>432</v>
      </c>
      <c r="B21" s="182">
        <f t="shared" si="1"/>
        <v>11</v>
      </c>
      <c r="C21" s="142" t="s">
        <v>148</v>
      </c>
      <c r="D21" s="375" t="s">
        <v>515</v>
      </c>
      <c r="E21" s="376"/>
      <c r="F21" s="107"/>
    </row>
    <row r="22" spans="1:6" ht="18" customHeight="1" x14ac:dyDescent="0.3">
      <c r="A22" s="181" t="s">
        <v>432</v>
      </c>
      <c r="B22" s="182">
        <f t="shared" si="1"/>
        <v>12</v>
      </c>
      <c r="C22" s="142" t="s">
        <v>499</v>
      </c>
      <c r="D22" s="385" t="s">
        <v>706</v>
      </c>
      <c r="E22" s="386"/>
      <c r="F22" s="107"/>
    </row>
    <row r="23" spans="1:6" x14ac:dyDescent="0.3">
      <c r="A23" s="124" t="s">
        <v>432</v>
      </c>
      <c r="B23" s="369">
        <f>B22+1</f>
        <v>13</v>
      </c>
      <c r="C23" s="139" t="s">
        <v>500</v>
      </c>
      <c r="D23" s="54">
        <v>1</v>
      </c>
      <c r="E23" s="86" t="s">
        <v>501</v>
      </c>
      <c r="F23" s="107"/>
    </row>
    <row r="24" spans="1:6" ht="12.75" customHeight="1" x14ac:dyDescent="0.3">
      <c r="A24" s="77"/>
      <c r="B24" s="383"/>
      <c r="C24" s="106"/>
      <c r="D24" s="44">
        <f>D23:E23+1</f>
        <v>2</v>
      </c>
      <c r="E24" s="143" t="s">
        <v>650</v>
      </c>
    </row>
    <row r="25" spans="1:6" ht="13.5" customHeight="1" x14ac:dyDescent="0.3">
      <c r="A25" s="398" t="s">
        <v>120</v>
      </c>
      <c r="B25" s="399"/>
      <c r="C25" s="139" t="s">
        <v>147</v>
      </c>
      <c r="D25" s="54">
        <v>1</v>
      </c>
      <c r="E25" s="146" t="s">
        <v>649</v>
      </c>
      <c r="F25" s="87"/>
    </row>
    <row r="26" spans="1:6" x14ac:dyDescent="0.3">
      <c r="A26" s="400"/>
      <c r="B26" s="401"/>
      <c r="C26" s="106"/>
      <c r="D26" s="44">
        <f>D25+1</f>
        <v>2</v>
      </c>
      <c r="E26" s="143" t="s">
        <v>650</v>
      </c>
      <c r="F26" s="172" t="s">
        <v>518</v>
      </c>
    </row>
    <row r="27" spans="1:6" ht="21" customHeight="1" x14ac:dyDescent="0.3">
      <c r="B27" s="387" t="s">
        <v>513</v>
      </c>
      <c r="C27" s="388"/>
      <c r="D27" s="388"/>
      <c r="E27" s="388"/>
      <c r="F27" s="153"/>
    </row>
    <row r="28" spans="1:6" ht="26.25" customHeight="1" x14ac:dyDescent="0.3">
      <c r="A28" s="181" t="s">
        <v>432</v>
      </c>
      <c r="B28" s="182">
        <f>B23+1</f>
        <v>14</v>
      </c>
      <c r="C28" s="142" t="s">
        <v>504</v>
      </c>
      <c r="D28" s="375" t="s">
        <v>514</v>
      </c>
      <c r="E28" s="376"/>
      <c r="F28" s="153"/>
    </row>
    <row r="29" spans="1:6" ht="23.25" customHeight="1" x14ac:dyDescent="0.3">
      <c r="A29" s="181" t="s">
        <v>432</v>
      </c>
      <c r="B29" s="182">
        <f>B28+1</f>
        <v>15</v>
      </c>
      <c r="C29" s="142" t="s">
        <v>157</v>
      </c>
      <c r="D29" s="375" t="s">
        <v>514</v>
      </c>
      <c r="E29" s="376"/>
      <c r="F29" s="107"/>
    </row>
    <row r="30" spans="1:6" ht="24.75" customHeight="1" x14ac:dyDescent="0.3">
      <c r="A30" s="181" t="s">
        <v>432</v>
      </c>
      <c r="B30" s="182">
        <f t="shared" ref="B30:B32" si="2">B29+1</f>
        <v>16</v>
      </c>
      <c r="C30" s="142" t="s">
        <v>503</v>
      </c>
      <c r="D30" s="375" t="s">
        <v>514</v>
      </c>
      <c r="E30" s="376"/>
      <c r="F30" s="107"/>
    </row>
    <row r="31" spans="1:6" ht="23.25" customHeight="1" x14ac:dyDescent="0.3">
      <c r="A31" s="181" t="s">
        <v>432</v>
      </c>
      <c r="B31" s="182">
        <f t="shared" si="2"/>
        <v>17</v>
      </c>
      <c r="C31" s="142" t="s">
        <v>502</v>
      </c>
      <c r="D31" s="375" t="s">
        <v>514</v>
      </c>
      <c r="E31" s="376"/>
      <c r="F31" s="144"/>
    </row>
    <row r="32" spans="1:6" ht="26.25" customHeight="1" x14ac:dyDescent="0.3">
      <c r="A32" s="181" t="s">
        <v>432</v>
      </c>
      <c r="B32" s="182">
        <f t="shared" si="2"/>
        <v>18</v>
      </c>
      <c r="C32" s="161" t="s">
        <v>121</v>
      </c>
      <c r="D32" s="375" t="s">
        <v>514</v>
      </c>
      <c r="E32" s="376"/>
      <c r="F32" s="107"/>
    </row>
    <row r="33" spans="1:6" ht="24.75" customHeight="1" x14ac:dyDescent="0.3">
      <c r="A33" s="181" t="s">
        <v>432</v>
      </c>
      <c r="B33" s="182">
        <f>B32+1</f>
        <v>19</v>
      </c>
      <c r="C33" s="142" t="s">
        <v>268</v>
      </c>
      <c r="D33" s="375" t="s">
        <v>514</v>
      </c>
      <c r="E33" s="376"/>
      <c r="F33" s="107"/>
    </row>
    <row r="34" spans="1:6" x14ac:dyDescent="0.3">
      <c r="A34" s="181" t="s">
        <v>432</v>
      </c>
      <c r="B34" s="182">
        <f>B33+1</f>
        <v>20</v>
      </c>
      <c r="C34" s="142" t="s">
        <v>277</v>
      </c>
      <c r="D34" s="385"/>
      <c r="E34" s="386"/>
      <c r="F34" s="141"/>
    </row>
    <row r="35" spans="1:6" x14ac:dyDescent="0.3">
      <c r="A35" s="124" t="s">
        <v>432</v>
      </c>
      <c r="B35" s="369">
        <f>B34+1</f>
        <v>21</v>
      </c>
      <c r="C35" s="389" t="s">
        <v>3</v>
      </c>
      <c r="D35" s="54">
        <v>1</v>
      </c>
      <c r="E35" s="3" t="s">
        <v>649</v>
      </c>
      <c r="F35" s="107"/>
    </row>
    <row r="36" spans="1:6" ht="42" customHeight="1" x14ac:dyDescent="0.3">
      <c r="A36" s="77"/>
      <c r="B36" s="383"/>
      <c r="C36" s="384"/>
      <c r="D36" s="69">
        <f>D35+1</f>
        <v>2</v>
      </c>
      <c r="E36" s="6" t="s">
        <v>650</v>
      </c>
      <c r="F36" s="141"/>
    </row>
    <row r="37" spans="1:6" ht="57" customHeight="1" x14ac:dyDescent="0.3">
      <c r="A37" s="181" t="s">
        <v>432</v>
      </c>
      <c r="B37" s="182">
        <f>B35+1</f>
        <v>22</v>
      </c>
      <c r="C37" s="148" t="s">
        <v>508</v>
      </c>
      <c r="D37" s="375" t="s">
        <v>498</v>
      </c>
      <c r="E37" s="376"/>
      <c r="F37" s="141"/>
    </row>
    <row r="38" spans="1:6" ht="54" customHeight="1" x14ac:dyDescent="0.3">
      <c r="A38" s="124" t="s">
        <v>432</v>
      </c>
      <c r="B38" s="366">
        <f>B37+1</f>
        <v>23</v>
      </c>
      <c r="C38" s="139" t="s">
        <v>510</v>
      </c>
      <c r="D38" s="390" t="s">
        <v>158</v>
      </c>
      <c r="E38" s="369"/>
      <c r="F38" s="141"/>
    </row>
    <row r="39" spans="1:6" ht="38.25" customHeight="1" x14ac:dyDescent="0.3">
      <c r="A39" s="124" t="s">
        <v>432</v>
      </c>
      <c r="B39" s="366">
        <v>23</v>
      </c>
      <c r="C39" s="139" t="s">
        <v>159</v>
      </c>
      <c r="D39" s="375" t="s">
        <v>498</v>
      </c>
      <c r="E39" s="376"/>
      <c r="F39" s="141"/>
    </row>
    <row r="40" spans="1:6" ht="28.5" customHeight="1" x14ac:dyDescent="0.3">
      <c r="A40" s="124" t="s">
        <v>432</v>
      </c>
      <c r="B40" s="366">
        <v>23</v>
      </c>
      <c r="C40" s="139" t="s">
        <v>160</v>
      </c>
      <c r="D40" s="375" t="s">
        <v>498</v>
      </c>
      <c r="E40" s="376"/>
      <c r="F40" s="141"/>
    </row>
    <row r="41" spans="1:6" ht="52.5" customHeight="1" x14ac:dyDescent="0.3">
      <c r="A41" s="124" t="s">
        <v>432</v>
      </c>
      <c r="B41" s="183">
        <v>23</v>
      </c>
      <c r="C41" s="139" t="s">
        <v>167</v>
      </c>
      <c r="D41" s="381" t="s">
        <v>168</v>
      </c>
      <c r="E41" s="382"/>
      <c r="F41" s="141"/>
    </row>
    <row r="42" spans="1:6" ht="39" customHeight="1" x14ac:dyDescent="0.3">
      <c r="A42" s="181" t="s">
        <v>432</v>
      </c>
      <c r="B42" s="182">
        <f>B40+1</f>
        <v>24</v>
      </c>
      <c r="C42" s="142" t="s">
        <v>164</v>
      </c>
      <c r="D42" s="375" t="s">
        <v>498</v>
      </c>
      <c r="E42" s="376"/>
      <c r="F42" s="141"/>
    </row>
    <row r="43" spans="1:6" ht="53.25" customHeight="1" x14ac:dyDescent="0.3">
      <c r="A43" s="181" t="s">
        <v>432</v>
      </c>
      <c r="B43" s="182">
        <f>B42+1</f>
        <v>25</v>
      </c>
      <c r="C43" s="142" t="s">
        <v>165</v>
      </c>
      <c r="D43" s="379" t="s">
        <v>166</v>
      </c>
      <c r="E43" s="380"/>
      <c r="F43" s="141"/>
    </row>
    <row r="44" spans="1:6" ht="53.25" customHeight="1" x14ac:dyDescent="0.3">
      <c r="A44" s="181" t="s">
        <v>432</v>
      </c>
      <c r="B44" s="182">
        <f t="shared" ref="B44" si="3">B43+1</f>
        <v>26</v>
      </c>
      <c r="C44" s="142" t="s">
        <v>122</v>
      </c>
      <c r="D44" s="375" t="s">
        <v>498</v>
      </c>
      <c r="E44" s="376"/>
      <c r="F44" s="141"/>
    </row>
    <row r="45" spans="1:6" ht="51.75" customHeight="1" x14ac:dyDescent="0.3">
      <c r="A45" s="181" t="s">
        <v>432</v>
      </c>
      <c r="B45" s="182">
        <f t="shared" ref="B45" si="4">B44+1</f>
        <v>27</v>
      </c>
      <c r="C45" s="139" t="s">
        <v>167</v>
      </c>
      <c r="D45" s="381" t="s">
        <v>168</v>
      </c>
      <c r="E45" s="382"/>
      <c r="F45" s="141"/>
    </row>
    <row r="46" spans="1:6" ht="12.75" customHeight="1" x14ac:dyDescent="0.3">
      <c r="A46" s="124" t="s">
        <v>432</v>
      </c>
      <c r="B46" s="182">
        <f>B45+1</f>
        <v>28</v>
      </c>
      <c r="C46" s="371" t="s">
        <v>205</v>
      </c>
      <c r="D46" s="149">
        <v>1</v>
      </c>
      <c r="E46" s="146" t="s">
        <v>649</v>
      </c>
      <c r="F46" s="377" t="s">
        <v>465</v>
      </c>
    </row>
    <row r="47" spans="1:6" ht="48" customHeight="1" x14ac:dyDescent="0.3">
      <c r="A47" s="52"/>
      <c r="B47" s="186"/>
      <c r="C47" s="372"/>
      <c r="D47" s="150">
        <f>D46+1</f>
        <v>2</v>
      </c>
      <c r="E47" s="151" t="s">
        <v>650</v>
      </c>
      <c r="F47" s="378"/>
    </row>
    <row r="48" spans="1:6" ht="12.75" customHeight="1" x14ac:dyDescent="0.3">
      <c r="A48" s="124" t="s">
        <v>432</v>
      </c>
      <c r="B48" s="183">
        <f>B46+1</f>
        <v>29</v>
      </c>
      <c r="C48" s="371" t="s">
        <v>143</v>
      </c>
      <c r="D48" s="54">
        <v>1</v>
      </c>
      <c r="E48" s="86" t="s">
        <v>649</v>
      </c>
      <c r="F48" s="87"/>
    </row>
    <row r="49" spans="1:7" ht="12.75" customHeight="1" x14ac:dyDescent="0.3">
      <c r="A49" s="74"/>
      <c r="B49" s="184"/>
      <c r="C49" s="372"/>
      <c r="D49" s="69">
        <f>D48+1</f>
        <v>2</v>
      </c>
      <c r="E49" s="112" t="s">
        <v>511</v>
      </c>
      <c r="F49" s="373" t="s">
        <v>466</v>
      </c>
    </row>
    <row r="50" spans="1:7" ht="12.75" customHeight="1" x14ac:dyDescent="0.3">
      <c r="A50" s="74"/>
      <c r="B50" s="184"/>
      <c r="C50" s="372"/>
      <c r="D50" s="69">
        <f t="shared" ref="D50:D51" si="5">D49+1</f>
        <v>3</v>
      </c>
      <c r="E50" s="112" t="s">
        <v>512</v>
      </c>
      <c r="F50" s="373"/>
    </row>
    <row r="51" spans="1:7" ht="12.75" customHeight="1" x14ac:dyDescent="0.3">
      <c r="A51" s="74"/>
      <c r="B51" s="184"/>
      <c r="C51" s="165"/>
      <c r="D51" s="69">
        <f t="shared" si="5"/>
        <v>4</v>
      </c>
      <c r="E51" s="112" t="s">
        <v>464</v>
      </c>
      <c r="F51" s="373"/>
    </row>
    <row r="52" spans="1:7" ht="18.75" customHeight="1" x14ac:dyDescent="0.3">
      <c r="A52" s="74"/>
      <c r="B52" s="184"/>
      <c r="C52" s="165"/>
      <c r="D52" s="69">
        <v>5</v>
      </c>
      <c r="E52" s="112" t="s">
        <v>424</v>
      </c>
      <c r="F52" s="373"/>
    </row>
    <row r="53" spans="1:7" ht="15" customHeight="1" x14ac:dyDescent="0.3">
      <c r="A53" s="74"/>
      <c r="B53" s="184"/>
      <c r="C53" s="145"/>
      <c r="D53" s="69">
        <v>-96</v>
      </c>
      <c r="E53" s="112" t="s">
        <v>456</v>
      </c>
      <c r="F53" s="374"/>
    </row>
    <row r="54" spans="1:7" ht="74.25" customHeight="1" x14ac:dyDescent="0.3">
      <c r="A54" s="124" t="s">
        <v>432</v>
      </c>
      <c r="B54" s="369">
        <f>B48+1</f>
        <v>30</v>
      </c>
      <c r="C54" s="371" t="s">
        <v>144</v>
      </c>
      <c r="D54" s="54">
        <v>1</v>
      </c>
      <c r="E54" s="146" t="s">
        <v>649</v>
      </c>
      <c r="F54" s="393" t="s">
        <v>7</v>
      </c>
      <c r="G54" s="113"/>
    </row>
    <row r="55" spans="1:7" ht="33" customHeight="1" x14ac:dyDescent="0.3">
      <c r="A55" s="74"/>
      <c r="B55" s="383"/>
      <c r="C55" s="384"/>
      <c r="D55" s="44">
        <f>D54+1</f>
        <v>2</v>
      </c>
      <c r="E55" s="36" t="s">
        <v>650</v>
      </c>
      <c r="F55" s="378"/>
      <c r="G55" s="113"/>
    </row>
    <row r="56" spans="1:7" x14ac:dyDescent="0.3">
      <c r="A56" s="124" t="s">
        <v>432</v>
      </c>
      <c r="B56" s="369">
        <f>B54+1</f>
        <v>31</v>
      </c>
      <c r="C56" s="371" t="s">
        <v>145</v>
      </c>
      <c r="D56" s="54">
        <v>1</v>
      </c>
      <c r="E56" s="146" t="s">
        <v>482</v>
      </c>
      <c r="F56" s="72"/>
      <c r="G56" s="113"/>
    </row>
    <row r="57" spans="1:7" x14ac:dyDescent="0.3">
      <c r="A57" s="74"/>
      <c r="B57" s="370"/>
      <c r="C57" s="372"/>
      <c r="D57" s="69">
        <f>D56+1</f>
        <v>2</v>
      </c>
      <c r="E57" s="151" t="s">
        <v>467</v>
      </c>
      <c r="G57" s="113"/>
    </row>
    <row r="58" spans="1:7" ht="26" x14ac:dyDescent="0.3">
      <c r="A58" s="74"/>
      <c r="B58" s="185"/>
      <c r="C58" s="165"/>
      <c r="D58" s="69">
        <f t="shared" ref="D58:D60" si="6">D57+1</f>
        <v>3</v>
      </c>
      <c r="E58" s="151" t="s">
        <v>468</v>
      </c>
      <c r="F58" s="152" t="s">
        <v>469</v>
      </c>
      <c r="G58" s="113"/>
    </row>
    <row r="59" spans="1:7" ht="26" x14ac:dyDescent="0.3">
      <c r="A59" s="74"/>
      <c r="B59" s="185"/>
      <c r="C59" s="165"/>
      <c r="D59" s="69">
        <f t="shared" si="6"/>
        <v>4</v>
      </c>
      <c r="E59" s="151" t="s">
        <v>480</v>
      </c>
      <c r="F59" s="338" t="s">
        <v>470</v>
      </c>
      <c r="G59" s="113"/>
    </row>
    <row r="60" spans="1:7" ht="37.5" customHeight="1" x14ac:dyDescent="0.3">
      <c r="A60" s="74"/>
      <c r="B60" s="177"/>
      <c r="C60" s="163"/>
      <c r="D60" s="44">
        <f t="shared" si="6"/>
        <v>5</v>
      </c>
      <c r="E60" s="36" t="s">
        <v>481</v>
      </c>
      <c r="F60" s="338" t="s">
        <v>470</v>
      </c>
    </row>
    <row r="61" spans="1:7" ht="12.75" customHeight="1" x14ac:dyDescent="0.3">
      <c r="A61" s="124" t="s">
        <v>432</v>
      </c>
      <c r="B61" s="369">
        <f>B56+1</f>
        <v>32</v>
      </c>
      <c r="C61" s="371" t="s">
        <v>146</v>
      </c>
      <c r="D61" s="54">
        <v>1</v>
      </c>
      <c r="E61" s="151" t="s">
        <v>474</v>
      </c>
      <c r="F61" s="72"/>
    </row>
    <row r="62" spans="1:7" ht="12.75" customHeight="1" x14ac:dyDescent="0.3">
      <c r="A62" s="74"/>
      <c r="B62" s="370"/>
      <c r="C62" s="372"/>
      <c r="D62" s="69">
        <f>D61+1</f>
        <v>2</v>
      </c>
      <c r="E62" s="151" t="s">
        <v>471</v>
      </c>
    </row>
    <row r="63" spans="1:7" ht="12.75" customHeight="1" x14ac:dyDescent="0.3">
      <c r="A63" s="74"/>
      <c r="B63" s="185"/>
      <c r="C63" s="372"/>
      <c r="D63" s="69">
        <f t="shared" ref="D63" si="7">D62+1</f>
        <v>3</v>
      </c>
      <c r="E63" s="151" t="s">
        <v>472</v>
      </c>
      <c r="F63" s="367" t="s">
        <v>469</v>
      </c>
    </row>
    <row r="64" spans="1:7" ht="13" customHeight="1" x14ac:dyDescent="0.3">
      <c r="A64" s="77"/>
      <c r="B64" s="177"/>
      <c r="C64" s="163"/>
      <c r="D64" s="44">
        <f>D63+1</f>
        <v>4</v>
      </c>
      <c r="E64" s="36" t="s">
        <v>473</v>
      </c>
      <c r="F64" s="368"/>
    </row>
  </sheetData>
  <mergeCells count="53">
    <mergeCell ref="F54:F55"/>
    <mergeCell ref="D5:E5"/>
    <mergeCell ref="A17:B17"/>
    <mergeCell ref="A16:B16"/>
    <mergeCell ref="A18:B18"/>
    <mergeCell ref="A25:B26"/>
    <mergeCell ref="D16:E16"/>
    <mergeCell ref="D6:E6"/>
    <mergeCell ref="D7:E7"/>
    <mergeCell ref="D13:E13"/>
    <mergeCell ref="D14:E14"/>
    <mergeCell ref="D15:E15"/>
    <mergeCell ref="D11:E11"/>
    <mergeCell ref="D12:E12"/>
    <mergeCell ref="D32:E32"/>
    <mergeCell ref="D17:E17"/>
    <mergeCell ref="D18:E18"/>
    <mergeCell ref="D29:E29"/>
    <mergeCell ref="D38:E38"/>
    <mergeCell ref="B1:E1"/>
    <mergeCell ref="A3:E3"/>
    <mergeCell ref="B54:B55"/>
    <mergeCell ref="C54:C55"/>
    <mergeCell ref="D19:E19"/>
    <mergeCell ref="D20:E20"/>
    <mergeCell ref="D22:E22"/>
    <mergeCell ref="D21:E21"/>
    <mergeCell ref="D34:E34"/>
    <mergeCell ref="D28:E28"/>
    <mergeCell ref="D30:E30"/>
    <mergeCell ref="D31:E31"/>
    <mergeCell ref="D33:E33"/>
    <mergeCell ref="B27:E27"/>
    <mergeCell ref="B23:B24"/>
    <mergeCell ref="C35:C36"/>
    <mergeCell ref="B35:B36"/>
    <mergeCell ref="D39:E39"/>
    <mergeCell ref="F49:F53"/>
    <mergeCell ref="D42:E42"/>
    <mergeCell ref="D44:E44"/>
    <mergeCell ref="D37:E37"/>
    <mergeCell ref="C46:C47"/>
    <mergeCell ref="F46:F47"/>
    <mergeCell ref="D40:E40"/>
    <mergeCell ref="D43:E43"/>
    <mergeCell ref="D45:E45"/>
    <mergeCell ref="D41:E41"/>
    <mergeCell ref="C48:C50"/>
    <mergeCell ref="F63:F64"/>
    <mergeCell ref="B61:B62"/>
    <mergeCell ref="C61:C63"/>
    <mergeCell ref="B56:B57"/>
    <mergeCell ref="C56:C57"/>
  </mergeCells>
  <phoneticPr fontId="2" type="noConversion"/>
  <pageMargins left="0.7" right="0.7" top="0.75" bottom="0.75" header="0.3" footer="0.3"/>
  <pageSetup scale="72" fitToHeight="0" orientation="portrait" r:id="rId1"/>
  <headerFooter>
    <oddHeader xml:space="preserve">&amp;L
&amp;CIPA Framing Cash Grants
Baseline Survey
</oddHeader>
  </headerFooter>
  <rowBreaks count="1" manualBreakCount="1">
    <brk id="36" max="16383" man="1"/>
  </rowBreaks>
  <extLst>
    <ext xmlns:mx="http://schemas.microsoft.com/office/mac/excel/2008/main" uri="http://schemas.microsoft.com/office/mac/excel/2008/main">
      <mx:PLV Mode="1"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5"/>
  <sheetViews>
    <sheetView view="pageLayout" topLeftCell="A4" workbookViewId="0">
      <selection activeCell="F20" sqref="F20:G20"/>
    </sheetView>
  </sheetViews>
  <sheetFormatPr defaultColWidth="8.765625" defaultRowHeight="13.5" x14ac:dyDescent="0.3"/>
  <cols>
    <col min="1" max="1" width="2" customWidth="1"/>
    <col min="2" max="2" width="3.3828125" style="228" bestFit="1" customWidth="1"/>
    <col min="3" max="3" width="42" style="59" customWidth="1"/>
    <col min="4" max="4" width="3.3828125" style="59" customWidth="1"/>
    <col min="5" max="5" width="42.61328125" style="59" customWidth="1"/>
    <col min="6" max="6" width="2.61328125" customWidth="1"/>
    <col min="7" max="7" width="6" customWidth="1"/>
    <col min="8" max="8" width="4.3828125" customWidth="1"/>
    <col min="10" max="10" width="11.765625" customWidth="1"/>
    <col min="11" max="11" width="12.23046875" customWidth="1"/>
  </cols>
  <sheetData>
    <row r="1" spans="1:8" s="10" customFormat="1" ht="14.15" customHeight="1" x14ac:dyDescent="0.3">
      <c r="B1" s="391" t="s">
        <v>433</v>
      </c>
      <c r="C1" s="406"/>
      <c r="D1" s="406"/>
      <c r="E1" s="406"/>
      <c r="F1" s="406"/>
      <c r="G1" s="406"/>
    </row>
    <row r="2" spans="1:8" s="10" customFormat="1" ht="8.25" customHeight="1" x14ac:dyDescent="0.3">
      <c r="B2" s="8"/>
      <c r="H2" s="41"/>
    </row>
    <row r="3" spans="1:8" x14ac:dyDescent="0.3">
      <c r="A3" s="404" t="s">
        <v>345</v>
      </c>
      <c r="B3" s="405"/>
      <c r="C3" s="405"/>
      <c r="D3" s="405"/>
      <c r="E3" s="405"/>
      <c r="F3" s="405"/>
      <c r="G3" s="405"/>
    </row>
    <row r="4" spans="1:8" ht="8.25" customHeight="1" x14ac:dyDescent="0.3">
      <c r="A4" s="228"/>
      <c r="B4" s="266"/>
      <c r="C4" s="265"/>
      <c r="D4" s="265"/>
      <c r="E4" s="265"/>
      <c r="F4" s="265"/>
      <c r="G4" s="265"/>
    </row>
    <row r="5" spans="1:8" x14ac:dyDescent="0.3">
      <c r="A5" s="412" t="s">
        <v>642</v>
      </c>
      <c r="B5" s="413"/>
      <c r="C5" s="43" t="s">
        <v>663</v>
      </c>
      <c r="D5" s="394" t="s">
        <v>647</v>
      </c>
      <c r="E5" s="395"/>
      <c r="F5" s="414" t="s">
        <v>648</v>
      </c>
      <c r="G5" s="415"/>
    </row>
    <row r="6" spans="1:8" x14ac:dyDescent="0.3">
      <c r="A6" s="418" t="s">
        <v>406</v>
      </c>
      <c r="B6" s="409">
        <v>1</v>
      </c>
      <c r="C6" s="407" t="s">
        <v>123</v>
      </c>
      <c r="D6" s="54">
        <v>1</v>
      </c>
      <c r="E6" s="3" t="s">
        <v>629</v>
      </c>
      <c r="F6" s="72"/>
      <c r="G6" s="73"/>
    </row>
    <row r="7" spans="1:8" x14ac:dyDescent="0.3">
      <c r="A7" s="418"/>
      <c r="B7" s="409"/>
      <c r="C7" s="408"/>
      <c r="D7" s="44">
        <v>2</v>
      </c>
      <c r="E7" s="7" t="s">
        <v>628</v>
      </c>
      <c r="F7" s="77"/>
      <c r="G7" s="78"/>
    </row>
    <row r="8" spans="1:8" ht="53.5" x14ac:dyDescent="0.3">
      <c r="A8" s="187" t="s">
        <v>439</v>
      </c>
      <c r="B8" s="222" t="s">
        <v>461</v>
      </c>
      <c r="C8" s="117" t="s">
        <v>124</v>
      </c>
      <c r="D8" s="416" t="s">
        <v>8</v>
      </c>
      <c r="E8" s="417"/>
      <c r="F8" s="74"/>
      <c r="G8" s="75"/>
    </row>
    <row r="9" spans="1:8" x14ac:dyDescent="0.3">
      <c r="A9" s="418" t="s">
        <v>406</v>
      </c>
      <c r="B9" s="222" t="s">
        <v>516</v>
      </c>
      <c r="C9" s="117" t="s">
        <v>204</v>
      </c>
      <c r="D9" s="46">
        <v>1</v>
      </c>
      <c r="E9" s="3" t="s">
        <v>235</v>
      </c>
      <c r="F9" s="72"/>
      <c r="G9" s="73"/>
    </row>
    <row r="10" spans="1:8" x14ac:dyDescent="0.3">
      <c r="A10" s="418"/>
      <c r="B10" s="225"/>
      <c r="C10" s="320"/>
      <c r="D10" s="45">
        <f>D9+1</f>
        <v>2</v>
      </c>
      <c r="E10" s="6" t="s">
        <v>236</v>
      </c>
      <c r="F10" s="74"/>
      <c r="G10" s="75"/>
    </row>
    <row r="11" spans="1:8" x14ac:dyDescent="0.3">
      <c r="A11" s="419"/>
      <c r="B11" s="225"/>
      <c r="C11" s="320"/>
      <c r="D11" s="45">
        <f>D10+1</f>
        <v>3</v>
      </c>
      <c r="E11" s="6" t="s">
        <v>234</v>
      </c>
      <c r="F11" s="74"/>
      <c r="G11" s="75"/>
    </row>
    <row r="12" spans="1:8" ht="26" x14ac:dyDescent="0.3">
      <c r="A12" s="311"/>
      <c r="B12" s="225"/>
      <c r="C12" s="320"/>
      <c r="D12" s="45">
        <f>D11+1</f>
        <v>4</v>
      </c>
      <c r="E12" s="6" t="s">
        <v>125</v>
      </c>
      <c r="F12" s="74"/>
      <c r="G12" s="75"/>
    </row>
    <row r="13" spans="1:8" ht="26" x14ac:dyDescent="0.3">
      <c r="A13" s="325"/>
      <c r="B13" s="223"/>
      <c r="C13" s="155"/>
      <c r="D13" s="47">
        <f>D12+1</f>
        <v>5</v>
      </c>
      <c r="E13" s="6" t="s">
        <v>126</v>
      </c>
      <c r="F13" s="77"/>
      <c r="G13" s="78"/>
    </row>
    <row r="14" spans="1:8" x14ac:dyDescent="0.3">
      <c r="A14" s="419" t="s">
        <v>406</v>
      </c>
      <c r="B14" s="222" t="s">
        <v>462</v>
      </c>
      <c r="C14" s="117" t="s">
        <v>127</v>
      </c>
      <c r="D14" s="46">
        <v>1</v>
      </c>
      <c r="E14" s="3" t="s">
        <v>130</v>
      </c>
      <c r="F14" s="393" t="s">
        <v>134</v>
      </c>
      <c r="G14" s="422"/>
    </row>
    <row r="15" spans="1:8" x14ac:dyDescent="0.3">
      <c r="A15" s="420"/>
      <c r="B15" s="225"/>
      <c r="C15" s="320" t="s">
        <v>128</v>
      </c>
      <c r="D15" s="45">
        <f>D14+1</f>
        <v>2</v>
      </c>
      <c r="E15" s="6" t="s">
        <v>131</v>
      </c>
      <c r="F15" s="377" t="s">
        <v>138</v>
      </c>
      <c r="G15" s="423"/>
    </row>
    <row r="16" spans="1:8" ht="12.75" customHeight="1" x14ac:dyDescent="0.3">
      <c r="A16" s="420"/>
      <c r="B16" s="225"/>
      <c r="C16" s="421" t="s">
        <v>129</v>
      </c>
      <c r="D16" s="45">
        <f t="shared" ref="D16:D17" si="0">D15+1</f>
        <v>3</v>
      </c>
      <c r="E16" s="6" t="s">
        <v>132</v>
      </c>
      <c r="F16" s="377" t="s">
        <v>138</v>
      </c>
      <c r="G16" s="423"/>
    </row>
    <row r="17" spans="1:7" x14ac:dyDescent="0.3">
      <c r="A17" s="311"/>
      <c r="B17" s="225"/>
      <c r="C17" s="421"/>
      <c r="D17" s="45">
        <f t="shared" si="0"/>
        <v>4</v>
      </c>
      <c r="E17" s="6" t="s">
        <v>133</v>
      </c>
      <c r="F17" s="377" t="s">
        <v>138</v>
      </c>
      <c r="G17" s="423"/>
    </row>
    <row r="18" spans="1:7" ht="26" x14ac:dyDescent="0.3">
      <c r="A18" s="311"/>
      <c r="B18" s="225"/>
      <c r="C18" s="421"/>
      <c r="D18" s="45">
        <f>D17+1</f>
        <v>5</v>
      </c>
      <c r="E18" s="6" t="s">
        <v>125</v>
      </c>
      <c r="F18" s="74"/>
      <c r="G18" s="75"/>
    </row>
    <row r="19" spans="1:7" ht="26" x14ac:dyDescent="0.3">
      <c r="A19" s="325"/>
      <c r="B19" s="223"/>
      <c r="C19" s="155"/>
      <c r="D19" s="47">
        <f>D18+1</f>
        <v>6</v>
      </c>
      <c r="E19" s="7" t="s">
        <v>126</v>
      </c>
      <c r="F19" s="77"/>
      <c r="G19" s="78"/>
    </row>
    <row r="20" spans="1:7" ht="32.25" customHeight="1" x14ac:dyDescent="0.3">
      <c r="A20" s="187" t="s">
        <v>439</v>
      </c>
      <c r="B20" s="224" t="s">
        <v>463</v>
      </c>
      <c r="C20" s="62" t="s">
        <v>135</v>
      </c>
      <c r="D20" s="410" t="s">
        <v>342</v>
      </c>
      <c r="E20" s="411"/>
      <c r="F20" s="377" t="s">
        <v>60</v>
      </c>
      <c r="G20" s="423"/>
    </row>
    <row r="21" spans="1:7" ht="32.25" customHeight="1" x14ac:dyDescent="0.3">
      <c r="A21" s="187" t="s">
        <v>439</v>
      </c>
      <c r="B21" s="224" t="s">
        <v>139</v>
      </c>
      <c r="C21" s="62" t="s">
        <v>136</v>
      </c>
      <c r="D21" s="410" t="s">
        <v>137</v>
      </c>
      <c r="E21" s="411"/>
      <c r="F21" s="88"/>
      <c r="G21" s="118"/>
    </row>
    <row r="22" spans="1:7" x14ac:dyDescent="0.3">
      <c r="A22" s="187" t="s">
        <v>439</v>
      </c>
      <c r="B22" s="222">
        <v>4</v>
      </c>
      <c r="C22" s="66" t="s">
        <v>563</v>
      </c>
      <c r="D22" s="54">
        <v>1</v>
      </c>
      <c r="E22" s="98" t="s">
        <v>556</v>
      </c>
      <c r="F22" s="72"/>
      <c r="G22" s="73"/>
    </row>
    <row r="23" spans="1:7" x14ac:dyDescent="0.3">
      <c r="A23" s="74"/>
      <c r="B23" s="225"/>
      <c r="C23" s="67"/>
      <c r="D23" s="69">
        <f t="shared" ref="D23:D36" si="1">D22+1</f>
        <v>2</v>
      </c>
      <c r="E23" s="98" t="s">
        <v>557</v>
      </c>
      <c r="F23" s="74"/>
      <c r="G23" s="75"/>
    </row>
    <row r="24" spans="1:7" x14ac:dyDescent="0.3">
      <c r="A24" s="74"/>
      <c r="B24" s="225"/>
      <c r="C24" s="64"/>
      <c r="D24" s="69">
        <f t="shared" si="1"/>
        <v>3</v>
      </c>
      <c r="E24" s="98" t="s">
        <v>558</v>
      </c>
      <c r="F24" s="74"/>
      <c r="G24" s="75"/>
    </row>
    <row r="25" spans="1:7" x14ac:dyDescent="0.3">
      <c r="A25" s="74"/>
      <c r="B25" s="225"/>
      <c r="C25" s="64"/>
      <c r="D25" s="69">
        <f t="shared" si="1"/>
        <v>4</v>
      </c>
      <c r="E25" s="98" t="s">
        <v>559</v>
      </c>
      <c r="F25" s="74"/>
      <c r="G25" s="75"/>
    </row>
    <row r="26" spans="1:7" x14ac:dyDescent="0.3">
      <c r="A26" s="74"/>
      <c r="B26" s="225"/>
      <c r="C26" s="64"/>
      <c r="D26" s="69">
        <f t="shared" si="1"/>
        <v>5</v>
      </c>
      <c r="E26" s="98" t="s">
        <v>233</v>
      </c>
      <c r="F26" s="74"/>
      <c r="G26" s="75"/>
    </row>
    <row r="27" spans="1:7" x14ac:dyDescent="0.3">
      <c r="A27" s="74"/>
      <c r="B27" s="225"/>
      <c r="C27" s="64"/>
      <c r="D27" s="69">
        <f t="shared" si="1"/>
        <v>6</v>
      </c>
      <c r="E27" s="98" t="s">
        <v>560</v>
      </c>
      <c r="F27" s="74"/>
      <c r="G27" s="75"/>
    </row>
    <row r="28" spans="1:7" x14ac:dyDescent="0.3">
      <c r="A28" s="74"/>
      <c r="B28" s="225"/>
      <c r="C28" s="64"/>
      <c r="D28" s="69">
        <f t="shared" si="1"/>
        <v>7</v>
      </c>
      <c r="E28" s="98" t="s">
        <v>517</v>
      </c>
      <c r="F28" s="74"/>
      <c r="G28" s="75"/>
    </row>
    <row r="29" spans="1:7" x14ac:dyDescent="0.3">
      <c r="A29" s="74"/>
      <c r="B29" s="225"/>
      <c r="C29" s="64"/>
      <c r="D29" s="69">
        <f t="shared" si="1"/>
        <v>8</v>
      </c>
      <c r="E29" s="98" t="s">
        <v>212</v>
      </c>
      <c r="F29" s="74"/>
      <c r="G29" s="75"/>
    </row>
    <row r="30" spans="1:7" x14ac:dyDescent="0.3">
      <c r="A30" s="74"/>
      <c r="B30" s="225"/>
      <c r="C30" s="64"/>
      <c r="D30" s="69">
        <f t="shared" si="1"/>
        <v>9</v>
      </c>
      <c r="E30" s="98" t="s">
        <v>561</v>
      </c>
      <c r="F30" s="74"/>
      <c r="G30" s="75"/>
    </row>
    <row r="31" spans="1:7" x14ac:dyDescent="0.3">
      <c r="A31" s="74"/>
      <c r="B31" s="225"/>
      <c r="C31" s="64"/>
      <c r="D31" s="69">
        <f t="shared" si="1"/>
        <v>10</v>
      </c>
      <c r="E31" s="98" t="s">
        <v>214</v>
      </c>
      <c r="F31" s="74"/>
      <c r="G31" s="75"/>
    </row>
    <row r="32" spans="1:7" x14ac:dyDescent="0.3">
      <c r="A32" s="74"/>
      <c r="B32" s="225"/>
      <c r="C32" s="64"/>
      <c r="D32" s="69">
        <f t="shared" si="1"/>
        <v>11</v>
      </c>
      <c r="E32" s="98" t="s">
        <v>215</v>
      </c>
      <c r="F32" s="74"/>
      <c r="G32" s="75"/>
    </row>
    <row r="33" spans="1:7" x14ac:dyDescent="0.3">
      <c r="A33" s="74"/>
      <c r="B33" s="225"/>
      <c r="C33" s="64"/>
      <c r="D33" s="69">
        <f t="shared" si="1"/>
        <v>12</v>
      </c>
      <c r="E33" s="98" t="s">
        <v>562</v>
      </c>
      <c r="F33" s="74"/>
      <c r="G33" s="75"/>
    </row>
    <row r="34" spans="1:7" x14ac:dyDescent="0.3">
      <c r="A34" s="74"/>
      <c r="B34" s="225"/>
      <c r="C34" s="64"/>
      <c r="D34" s="69">
        <f t="shared" si="1"/>
        <v>13</v>
      </c>
      <c r="E34" s="98" t="s">
        <v>213</v>
      </c>
      <c r="F34" s="74"/>
      <c r="G34" s="75"/>
    </row>
    <row r="35" spans="1:7" x14ac:dyDescent="0.3">
      <c r="A35" s="74"/>
      <c r="B35" s="225"/>
      <c r="C35" s="64"/>
      <c r="D35" s="69">
        <f t="shared" si="1"/>
        <v>14</v>
      </c>
      <c r="E35" s="98" t="s">
        <v>452</v>
      </c>
      <c r="F35" s="74"/>
      <c r="G35" s="75"/>
    </row>
    <row r="36" spans="1:7" x14ac:dyDescent="0.3">
      <c r="A36" s="74"/>
      <c r="B36" s="225"/>
      <c r="C36" s="64"/>
      <c r="D36" s="69">
        <f t="shared" si="1"/>
        <v>15</v>
      </c>
      <c r="E36" s="98" t="s">
        <v>216</v>
      </c>
      <c r="F36" s="74"/>
      <c r="G36" s="75"/>
    </row>
    <row r="37" spans="1:7" x14ac:dyDescent="0.3">
      <c r="A37" s="74"/>
      <c r="B37" s="225"/>
      <c r="C37" s="64"/>
      <c r="D37" s="69">
        <v>-96</v>
      </c>
      <c r="E37" s="6" t="s">
        <v>343</v>
      </c>
      <c r="F37" s="74"/>
      <c r="G37" s="75"/>
    </row>
    <row r="38" spans="1:7" x14ac:dyDescent="0.3">
      <c r="A38" s="74"/>
      <c r="B38" s="225"/>
      <c r="C38" s="64"/>
      <c r="D38" s="69">
        <v>-98</v>
      </c>
      <c r="E38" s="6" t="s">
        <v>590</v>
      </c>
      <c r="F38" s="74"/>
      <c r="G38" s="75"/>
    </row>
    <row r="39" spans="1:7" x14ac:dyDescent="0.3">
      <c r="A39" s="77"/>
      <c r="B39" s="223"/>
      <c r="C39" s="64"/>
      <c r="D39" s="44">
        <v>-99</v>
      </c>
      <c r="E39" s="7" t="s">
        <v>589</v>
      </c>
      <c r="F39" s="77"/>
      <c r="G39" s="78"/>
    </row>
    <row r="40" spans="1:7" x14ac:dyDescent="0.3">
      <c r="A40" s="187" t="s">
        <v>439</v>
      </c>
      <c r="B40" s="222">
        <f>B22+1</f>
        <v>5</v>
      </c>
      <c r="C40" s="63" t="s">
        <v>570</v>
      </c>
      <c r="D40" s="69">
        <v>1</v>
      </c>
      <c r="E40" s="6" t="s">
        <v>591</v>
      </c>
      <c r="F40" s="74"/>
      <c r="G40" s="75"/>
    </row>
    <row r="41" spans="1:7" x14ac:dyDescent="0.3">
      <c r="A41" s="74"/>
      <c r="B41" s="225"/>
      <c r="C41" s="64"/>
      <c r="D41" s="69">
        <f t="shared" ref="D41:D47" si="2">D40+1</f>
        <v>2</v>
      </c>
      <c r="E41" s="6" t="s">
        <v>278</v>
      </c>
      <c r="F41" s="74"/>
      <c r="G41" s="75"/>
    </row>
    <row r="42" spans="1:7" x14ac:dyDescent="0.3">
      <c r="A42" s="74"/>
      <c r="B42" s="225"/>
      <c r="C42" s="64"/>
      <c r="D42" s="69">
        <f t="shared" si="2"/>
        <v>3</v>
      </c>
      <c r="E42" s="6" t="s">
        <v>592</v>
      </c>
      <c r="F42" s="74"/>
      <c r="G42" s="75"/>
    </row>
    <row r="43" spans="1:7" x14ac:dyDescent="0.3">
      <c r="A43" s="74"/>
      <c r="B43" s="225"/>
      <c r="C43" s="64"/>
      <c r="D43" s="69">
        <f t="shared" si="2"/>
        <v>4</v>
      </c>
      <c r="E43" s="6" t="s">
        <v>593</v>
      </c>
      <c r="F43" s="74"/>
      <c r="G43" s="75"/>
    </row>
    <row r="44" spans="1:7" x14ac:dyDescent="0.3">
      <c r="A44" s="74"/>
      <c r="B44" s="225"/>
      <c r="C44" s="64"/>
      <c r="D44" s="69">
        <f t="shared" si="2"/>
        <v>5</v>
      </c>
      <c r="E44" s="6" t="s">
        <v>73</v>
      </c>
      <c r="F44" s="74"/>
      <c r="G44" s="75"/>
    </row>
    <row r="45" spans="1:7" x14ac:dyDescent="0.3">
      <c r="A45" s="74"/>
      <c r="B45" s="225"/>
      <c r="C45" s="64"/>
      <c r="D45" s="69">
        <f t="shared" si="2"/>
        <v>6</v>
      </c>
      <c r="E45" s="6" t="s">
        <v>594</v>
      </c>
      <c r="F45" s="74"/>
      <c r="G45" s="75"/>
    </row>
    <row r="46" spans="1:7" x14ac:dyDescent="0.3">
      <c r="A46" s="74"/>
      <c r="B46" s="225"/>
      <c r="C46" s="64"/>
      <c r="D46" s="69">
        <f t="shared" si="2"/>
        <v>7</v>
      </c>
      <c r="E46" s="6" t="s">
        <v>595</v>
      </c>
      <c r="F46" s="74"/>
      <c r="G46" s="75"/>
    </row>
    <row r="47" spans="1:7" x14ac:dyDescent="0.3">
      <c r="A47" s="74"/>
      <c r="B47" s="225"/>
      <c r="C47" s="64"/>
      <c r="D47" s="69">
        <f t="shared" si="2"/>
        <v>8</v>
      </c>
      <c r="E47" s="6" t="s">
        <v>596</v>
      </c>
      <c r="F47" s="74"/>
      <c r="G47" s="75"/>
    </row>
    <row r="48" spans="1:7" ht="26" x14ac:dyDescent="0.3">
      <c r="A48" s="74"/>
      <c r="B48" s="225"/>
      <c r="C48" s="64"/>
      <c r="D48" s="69">
        <v>9</v>
      </c>
      <c r="E48" s="6" t="s">
        <v>9</v>
      </c>
      <c r="F48" s="74"/>
      <c r="G48" s="75"/>
    </row>
    <row r="49" spans="1:9" ht="17.25" customHeight="1" x14ac:dyDescent="0.3">
      <c r="A49" s="74"/>
      <c r="B49" s="225"/>
      <c r="C49" s="64"/>
      <c r="D49" s="268">
        <v>-96</v>
      </c>
      <c r="E49" s="89" t="s">
        <v>344</v>
      </c>
      <c r="F49" s="74"/>
      <c r="G49" s="75"/>
    </row>
    <row r="50" spans="1:9" x14ac:dyDescent="0.3">
      <c r="A50" s="74"/>
      <c r="B50" s="225"/>
      <c r="C50" s="64"/>
      <c r="D50" s="69">
        <v>-98</v>
      </c>
      <c r="E50" s="6" t="s">
        <v>590</v>
      </c>
      <c r="F50" s="74"/>
      <c r="G50" s="75"/>
    </row>
    <row r="51" spans="1:9" x14ac:dyDescent="0.3">
      <c r="A51" s="77"/>
      <c r="B51" s="225"/>
      <c r="C51" s="65"/>
      <c r="D51" s="44">
        <v>-99</v>
      </c>
      <c r="E51" s="7" t="s">
        <v>589</v>
      </c>
      <c r="F51" s="74"/>
      <c r="G51" s="75"/>
    </row>
    <row r="52" spans="1:9" x14ac:dyDescent="0.3">
      <c r="A52" s="187" t="s">
        <v>439</v>
      </c>
      <c r="B52" s="222">
        <f>B40+1</f>
        <v>6</v>
      </c>
      <c r="C52" s="68" t="s">
        <v>708</v>
      </c>
      <c r="D52" s="54">
        <v>1</v>
      </c>
      <c r="E52" s="3" t="s">
        <v>267</v>
      </c>
      <c r="F52" s="312"/>
      <c r="G52" s="240"/>
    </row>
    <row r="53" spans="1:9" ht="15.75" customHeight="1" x14ac:dyDescent="0.3">
      <c r="A53" s="311"/>
      <c r="B53" s="225"/>
      <c r="C53" s="66"/>
      <c r="D53" s="69">
        <f>D52+1</f>
        <v>2</v>
      </c>
      <c r="E53" s="6" t="s">
        <v>270</v>
      </c>
      <c r="F53" s="160"/>
      <c r="G53" s="210"/>
    </row>
    <row r="54" spans="1:9" x14ac:dyDescent="0.3">
      <c r="A54" s="74"/>
      <c r="B54" s="225"/>
      <c r="C54" s="64"/>
      <c r="D54" s="69">
        <f t="shared" ref="D54:D57" si="3">D53+1</f>
        <v>3</v>
      </c>
      <c r="E54" s="6" t="s">
        <v>597</v>
      </c>
      <c r="F54" s="160"/>
      <c r="G54" s="210"/>
    </row>
    <row r="55" spans="1:9" x14ac:dyDescent="0.3">
      <c r="A55" s="74"/>
      <c r="B55" s="225"/>
      <c r="C55" s="64"/>
      <c r="D55" s="69">
        <f t="shared" si="3"/>
        <v>4</v>
      </c>
      <c r="E55" s="6" t="s">
        <v>598</v>
      </c>
      <c r="F55" s="160"/>
      <c r="G55" s="210"/>
    </row>
    <row r="56" spans="1:9" x14ac:dyDescent="0.3">
      <c r="A56" s="74"/>
      <c r="B56" s="225"/>
      <c r="C56" s="64"/>
      <c r="D56" s="69">
        <f t="shared" si="3"/>
        <v>5</v>
      </c>
      <c r="E56" s="6" t="s">
        <v>599</v>
      </c>
      <c r="F56" s="160"/>
      <c r="G56" s="210"/>
    </row>
    <row r="57" spans="1:9" x14ac:dyDescent="0.3">
      <c r="A57" s="74"/>
      <c r="B57" s="226"/>
      <c r="C57" s="64"/>
      <c r="D57" s="69">
        <f t="shared" si="3"/>
        <v>6</v>
      </c>
      <c r="E57" s="6" t="s">
        <v>600</v>
      </c>
      <c r="F57" s="160"/>
      <c r="G57" s="210"/>
    </row>
    <row r="58" spans="1:9" x14ac:dyDescent="0.3">
      <c r="A58" s="74"/>
      <c r="B58" s="226"/>
      <c r="C58" s="64"/>
      <c r="D58" s="69">
        <v>-98</v>
      </c>
      <c r="E58" s="6" t="s">
        <v>590</v>
      </c>
      <c r="F58" s="160"/>
      <c r="G58" s="210"/>
    </row>
    <row r="59" spans="1:9" x14ac:dyDescent="0.3">
      <c r="A59" s="77"/>
      <c r="B59" s="227"/>
      <c r="C59" s="65"/>
      <c r="D59" s="44">
        <v>-99</v>
      </c>
      <c r="E59" s="7" t="s">
        <v>589</v>
      </c>
      <c r="F59" s="160"/>
      <c r="G59" s="210"/>
    </row>
    <row r="63" spans="1:9" x14ac:dyDescent="0.3">
      <c r="I63" s="267"/>
    </row>
    <row r="64" spans="1:9" x14ac:dyDescent="0.3">
      <c r="I64" s="267"/>
    </row>
    <row r="65" spans="9:9" x14ac:dyDescent="0.3">
      <c r="I65" s="267"/>
    </row>
  </sheetData>
  <mergeCells count="19">
    <mergeCell ref="D21:E21"/>
    <mergeCell ref="F15:G15"/>
    <mergeCell ref="F16:G16"/>
    <mergeCell ref="F17:G17"/>
    <mergeCell ref="A9:A11"/>
    <mergeCell ref="F20:G20"/>
    <mergeCell ref="A3:G3"/>
    <mergeCell ref="B1:G1"/>
    <mergeCell ref="C6:C7"/>
    <mergeCell ref="B6:B7"/>
    <mergeCell ref="D20:E20"/>
    <mergeCell ref="A5:B5"/>
    <mergeCell ref="F5:G5"/>
    <mergeCell ref="D8:E8"/>
    <mergeCell ref="D5:E5"/>
    <mergeCell ref="A6:A7"/>
    <mergeCell ref="A14:A16"/>
    <mergeCell ref="C16:C18"/>
    <mergeCell ref="F14:G14"/>
  </mergeCells>
  <phoneticPr fontId="2" type="noConversion"/>
  <pageMargins left="0.7" right="0.7" top="0.75" bottom="0.75" header="0.3" footer="0.3"/>
  <pageSetup scale="73" orientation="portrait" r:id="rId1"/>
  <extLst>
    <ext xmlns:mx="http://schemas.microsoft.com/office/mac/excel/2008/main" uri="http://schemas.microsoft.com/office/mac/excel/2008/main">
      <mx:PLV Mode="1"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G22"/>
  <sheetViews>
    <sheetView view="pageLayout" workbookViewId="0">
      <selection activeCell="F7" sqref="F7"/>
    </sheetView>
  </sheetViews>
  <sheetFormatPr defaultColWidth="8.765625" defaultRowHeight="13.5" x14ac:dyDescent="0.3"/>
  <cols>
    <col min="1" max="1" width="2.23046875" bestFit="1" customWidth="1"/>
    <col min="2" max="2" width="2.15234375" bestFit="1" customWidth="1"/>
    <col min="3" max="3" width="41.23046875" customWidth="1"/>
    <col min="4" max="4" width="4.61328125" customWidth="1"/>
    <col min="5" max="5" width="30.23046875" customWidth="1"/>
    <col min="6" max="6" width="3.61328125" customWidth="1"/>
    <col min="7" max="7" width="4.3828125" customWidth="1"/>
  </cols>
  <sheetData>
    <row r="2" spans="1:7" ht="15.75" customHeight="1" x14ac:dyDescent="0.3">
      <c r="A2" s="391" t="s">
        <v>442</v>
      </c>
      <c r="B2" s="391"/>
      <c r="C2" s="391"/>
      <c r="D2" s="391"/>
      <c r="E2" s="391"/>
      <c r="F2" s="391"/>
      <c r="G2" s="391"/>
    </row>
    <row r="3" spans="1:7" ht="15.75" customHeight="1" x14ac:dyDescent="0.3">
      <c r="A3" s="174"/>
      <c r="B3" s="174"/>
      <c r="C3" s="174"/>
      <c r="D3" s="174"/>
      <c r="E3" s="174"/>
      <c r="F3" s="174"/>
      <c r="G3" s="174"/>
    </row>
    <row r="4" spans="1:7" ht="27" customHeight="1" x14ac:dyDescent="0.3">
      <c r="A4" s="425" t="s">
        <v>441</v>
      </c>
      <c r="B4" s="425"/>
      <c r="C4" s="425"/>
      <c r="D4" s="425"/>
      <c r="E4" s="425"/>
      <c r="F4" s="425"/>
      <c r="G4" s="425"/>
    </row>
    <row r="5" spans="1:7" ht="9" customHeight="1" x14ac:dyDescent="0.3">
      <c r="A5" s="1"/>
      <c r="B5" s="1"/>
      <c r="C5" s="1"/>
      <c r="D5" s="1"/>
      <c r="E5" s="1"/>
      <c r="F5" s="1"/>
      <c r="G5" s="1"/>
    </row>
    <row r="6" spans="1:7" x14ac:dyDescent="0.3">
      <c r="A6" s="424" t="s">
        <v>642</v>
      </c>
      <c r="B6" s="395"/>
      <c r="C6" s="43" t="s">
        <v>663</v>
      </c>
      <c r="D6" s="44"/>
      <c r="E6" s="42" t="s">
        <v>647</v>
      </c>
      <c r="F6" s="394" t="s">
        <v>648</v>
      </c>
      <c r="G6" s="424"/>
    </row>
    <row r="7" spans="1:7" ht="33.75" customHeight="1" x14ac:dyDescent="0.3">
      <c r="A7" s="196" t="s">
        <v>440</v>
      </c>
      <c r="B7" s="198">
        <v>1</v>
      </c>
      <c r="C7" s="5" t="s">
        <v>362</v>
      </c>
      <c r="D7" s="427" t="s">
        <v>366</v>
      </c>
      <c r="E7" s="427"/>
      <c r="F7" s="196"/>
      <c r="G7" s="199"/>
    </row>
    <row r="8" spans="1:7" ht="15" customHeight="1" x14ac:dyDescent="0.3">
      <c r="A8" s="197" t="s">
        <v>440</v>
      </c>
      <c r="B8" s="198">
        <f>B7+1</f>
        <v>2</v>
      </c>
      <c r="C8" s="178" t="s">
        <v>363</v>
      </c>
      <c r="D8" s="54">
        <v>1</v>
      </c>
      <c r="E8" s="3" t="s">
        <v>649</v>
      </c>
      <c r="F8" s="197"/>
      <c r="G8" s="200"/>
    </row>
    <row r="9" spans="1:7" ht="14.25" customHeight="1" x14ac:dyDescent="0.3">
      <c r="A9" s="102"/>
      <c r="B9" s="330"/>
      <c r="C9" s="331"/>
      <c r="D9" s="69">
        <v>2</v>
      </c>
      <c r="E9" s="6" t="s">
        <v>650</v>
      </c>
      <c r="F9" s="102"/>
      <c r="G9" s="332"/>
    </row>
    <row r="10" spans="1:7" ht="40.5" customHeight="1" x14ac:dyDescent="0.3">
      <c r="A10" s="196" t="s">
        <v>440</v>
      </c>
      <c r="B10" s="198">
        <f>B8+1</f>
        <v>3</v>
      </c>
      <c r="C10" s="5" t="s">
        <v>141</v>
      </c>
      <c r="D10" s="427" t="s">
        <v>140</v>
      </c>
      <c r="E10" s="427"/>
      <c r="F10" s="196"/>
      <c r="G10" s="199"/>
    </row>
    <row r="11" spans="1:7" ht="36" customHeight="1" x14ac:dyDescent="0.3">
      <c r="A11" s="196" t="s">
        <v>440</v>
      </c>
      <c r="B11" s="198" t="s">
        <v>303</v>
      </c>
      <c r="C11" s="5" t="s">
        <v>142</v>
      </c>
      <c r="D11" s="427" t="s">
        <v>302</v>
      </c>
      <c r="E11" s="427"/>
      <c r="F11" s="196"/>
      <c r="G11" s="199"/>
    </row>
    <row r="12" spans="1:7" ht="33" customHeight="1" x14ac:dyDescent="0.3">
      <c r="A12" s="196" t="s">
        <v>440</v>
      </c>
      <c r="B12" s="198">
        <f>B10+1</f>
        <v>4</v>
      </c>
      <c r="C12" s="5" t="s">
        <v>364</v>
      </c>
      <c r="D12" s="427" t="s">
        <v>366</v>
      </c>
      <c r="E12" s="427"/>
      <c r="F12" s="196"/>
      <c r="G12" s="199"/>
    </row>
    <row r="13" spans="1:7" ht="29.25" customHeight="1" x14ac:dyDescent="0.3">
      <c r="A13" s="197" t="s">
        <v>440</v>
      </c>
      <c r="B13" s="198">
        <f>B12+1</f>
        <v>5</v>
      </c>
      <c r="C13" s="5" t="s">
        <v>365</v>
      </c>
      <c r="D13" s="427" t="s">
        <v>366</v>
      </c>
      <c r="E13" s="427"/>
      <c r="F13" s="196"/>
      <c r="G13" s="199"/>
    </row>
    <row r="14" spans="1:7" x14ac:dyDescent="0.3">
      <c r="A14" s="390" t="s">
        <v>440</v>
      </c>
      <c r="B14" s="369">
        <f>B13+1</f>
        <v>6</v>
      </c>
      <c r="C14" s="371" t="s">
        <v>346</v>
      </c>
      <c r="D14" s="46">
        <v>1</v>
      </c>
      <c r="E14" s="3" t="s">
        <v>649</v>
      </c>
      <c r="F14" s="201"/>
      <c r="G14" s="179"/>
    </row>
    <row r="15" spans="1:7" x14ac:dyDescent="0.3">
      <c r="A15" s="430"/>
      <c r="B15" s="370"/>
      <c r="C15" s="426"/>
      <c r="D15" s="45">
        <v>2</v>
      </c>
      <c r="E15" s="6" t="s">
        <v>650</v>
      </c>
      <c r="F15" s="160" t="s">
        <v>667</v>
      </c>
      <c r="G15" s="428" t="s">
        <v>417</v>
      </c>
    </row>
    <row r="16" spans="1:7" x14ac:dyDescent="0.3">
      <c r="A16" s="314"/>
      <c r="B16" s="177"/>
      <c r="C16" s="313"/>
      <c r="D16" s="47">
        <v>-97</v>
      </c>
      <c r="E16" s="7" t="s">
        <v>455</v>
      </c>
      <c r="F16" s="55" t="s">
        <v>667</v>
      </c>
      <c r="G16" s="429"/>
    </row>
    <row r="17" spans="1:7" x14ac:dyDescent="0.3">
      <c r="A17" s="390" t="s">
        <v>440</v>
      </c>
      <c r="B17" s="369">
        <f>B14+1</f>
        <v>7</v>
      </c>
      <c r="C17" s="435" t="s">
        <v>220</v>
      </c>
      <c r="D17" s="46">
        <v>1</v>
      </c>
      <c r="E17" s="3" t="s">
        <v>453</v>
      </c>
      <c r="F17" s="201"/>
      <c r="G17" s="179"/>
    </row>
    <row r="18" spans="1:7" x14ac:dyDescent="0.3">
      <c r="A18" s="438"/>
      <c r="B18" s="433"/>
      <c r="C18" s="436"/>
      <c r="D18" s="45">
        <f>D17+1</f>
        <v>2</v>
      </c>
      <c r="E18" s="6" t="s">
        <v>454</v>
      </c>
      <c r="F18" s="202"/>
      <c r="G18" s="1"/>
    </row>
    <row r="19" spans="1:7" x14ac:dyDescent="0.3">
      <c r="A19" s="438"/>
      <c r="B19" s="433"/>
      <c r="C19" s="436"/>
      <c r="D19" s="45">
        <f>D18+1</f>
        <v>3</v>
      </c>
      <c r="E19" s="6" t="s">
        <v>449</v>
      </c>
      <c r="F19" s="160" t="s">
        <v>667</v>
      </c>
      <c r="G19" s="428" t="s">
        <v>417</v>
      </c>
    </row>
    <row r="20" spans="1:7" ht="12.75" customHeight="1" x14ac:dyDescent="0.3">
      <c r="A20" s="438"/>
      <c r="B20" s="433"/>
      <c r="C20" s="436"/>
      <c r="D20" s="47">
        <v>-97</v>
      </c>
      <c r="E20" s="6" t="s">
        <v>455</v>
      </c>
      <c r="F20" s="160" t="s">
        <v>667</v>
      </c>
      <c r="G20" s="428"/>
    </row>
    <row r="21" spans="1:7" ht="33" customHeight="1" x14ac:dyDescent="0.3">
      <c r="A21" s="439"/>
      <c r="B21" s="434"/>
      <c r="C21" s="437"/>
      <c r="D21" s="47">
        <v>-98</v>
      </c>
      <c r="E21" s="7" t="s">
        <v>590</v>
      </c>
      <c r="F21" s="55" t="s">
        <v>667</v>
      </c>
      <c r="G21" s="429"/>
    </row>
    <row r="22" spans="1:7" ht="140.25" customHeight="1" x14ac:dyDescent="0.3">
      <c r="A22" s="294" t="s">
        <v>440</v>
      </c>
      <c r="B22" s="191">
        <f>B17+1</f>
        <v>8</v>
      </c>
      <c r="C22" s="351" t="s">
        <v>203</v>
      </c>
      <c r="D22" s="431" t="s">
        <v>10</v>
      </c>
      <c r="E22" s="432"/>
      <c r="F22" s="81"/>
      <c r="G22" s="81"/>
    </row>
  </sheetData>
  <mergeCells count="18">
    <mergeCell ref="D22:E22"/>
    <mergeCell ref="G19:G21"/>
    <mergeCell ref="B17:B21"/>
    <mergeCell ref="C17:C21"/>
    <mergeCell ref="A17:A21"/>
    <mergeCell ref="A6:B6"/>
    <mergeCell ref="A2:G2"/>
    <mergeCell ref="A4:G4"/>
    <mergeCell ref="F6:G6"/>
    <mergeCell ref="C14:C15"/>
    <mergeCell ref="B14:B15"/>
    <mergeCell ref="D11:E11"/>
    <mergeCell ref="G15:G16"/>
    <mergeCell ref="D7:E7"/>
    <mergeCell ref="D10:E10"/>
    <mergeCell ref="D12:E12"/>
    <mergeCell ref="D13:E13"/>
    <mergeCell ref="A14:A15"/>
  </mergeCells>
  <phoneticPr fontId="2" type="noConversion"/>
  <pageMargins left="0.7" right="0.7" top="0.75" bottom="0.75" header="0.3" footer="0.3"/>
  <pageSetup scale="90" fitToHeight="0" orientation="portrait" r:id="rId1"/>
  <extLst>
    <ext xmlns:mx="http://schemas.microsoft.com/office/mac/excel/2008/main" uri="http://schemas.microsoft.com/office/mac/excel/2008/main">
      <mx:PLV Mode="1"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4"/>
  <sheetViews>
    <sheetView tabSelected="1" view="pageLayout" topLeftCell="A10" workbookViewId="0">
      <selection activeCell="F10" sqref="F10"/>
    </sheetView>
  </sheetViews>
  <sheetFormatPr defaultColWidth="8.765625" defaultRowHeight="13.5" x14ac:dyDescent="0.3"/>
  <cols>
    <col min="1" max="1" width="2.3828125" bestFit="1" customWidth="1"/>
    <col min="2" max="2" width="3" bestFit="1" customWidth="1"/>
    <col min="3" max="3" width="39.765625" customWidth="1"/>
    <col min="4" max="4" width="4.15234375" customWidth="1"/>
    <col min="5" max="5" width="22.765625" customWidth="1"/>
    <col min="6" max="6" width="3.23046875" bestFit="1" customWidth="1"/>
    <col min="7" max="7" width="4.61328125" customWidth="1"/>
  </cols>
  <sheetData>
    <row r="1" spans="1:7" ht="7.5" customHeight="1" x14ac:dyDescent="0.3"/>
    <row r="2" spans="1:7" ht="15.75" customHeight="1" x14ac:dyDescent="0.3">
      <c r="A2" s="391" t="s">
        <v>301</v>
      </c>
      <c r="B2" s="391"/>
      <c r="C2" s="391"/>
      <c r="D2" s="391"/>
      <c r="E2" s="391"/>
      <c r="F2" s="391"/>
      <c r="G2" s="391"/>
    </row>
    <row r="3" spans="1:7" ht="6.75" customHeight="1" x14ac:dyDescent="0.3"/>
    <row r="4" spans="1:7" s="26" customFormat="1" ht="171" customHeight="1" x14ac:dyDescent="0.3">
      <c r="A4" s="451" t="s">
        <v>35</v>
      </c>
      <c r="B4" s="451"/>
      <c r="C4" s="451"/>
      <c r="D4" s="451"/>
      <c r="E4" s="451"/>
      <c r="F4" s="451"/>
      <c r="G4" s="451"/>
    </row>
    <row r="5" spans="1:7" s="26" customFormat="1" ht="10.5" customHeight="1" x14ac:dyDescent="0.3">
      <c r="A5" s="266"/>
      <c r="B5" s="266"/>
      <c r="C5" s="266"/>
      <c r="D5" s="266"/>
      <c r="E5" s="266"/>
      <c r="F5" s="266"/>
      <c r="G5" s="266"/>
    </row>
    <row r="6" spans="1:7" x14ac:dyDescent="0.3">
      <c r="A6" s="452" t="s">
        <v>350</v>
      </c>
      <c r="B6" s="409">
        <v>1</v>
      </c>
      <c r="C6" s="407" t="s">
        <v>457</v>
      </c>
      <c r="D6" s="46">
        <v>1</v>
      </c>
      <c r="E6" s="3" t="s">
        <v>649</v>
      </c>
      <c r="F6" s="79" t="s">
        <v>667</v>
      </c>
      <c r="G6" s="310">
        <f>B25</f>
        <v>6</v>
      </c>
    </row>
    <row r="7" spans="1:7" ht="27.75" customHeight="1" x14ac:dyDescent="0.3">
      <c r="A7" s="452"/>
      <c r="B7" s="409"/>
      <c r="C7" s="408"/>
      <c r="D7" s="47">
        <v>2</v>
      </c>
      <c r="E7" s="7" t="s">
        <v>650</v>
      </c>
      <c r="F7" s="77"/>
      <c r="G7" s="85"/>
    </row>
    <row r="8" spans="1:7" x14ac:dyDescent="0.3">
      <c r="A8" s="277" t="s">
        <v>350</v>
      </c>
      <c r="B8" s="222">
        <f>B6+1</f>
        <v>2</v>
      </c>
      <c r="C8" s="63" t="s">
        <v>304</v>
      </c>
      <c r="D8" s="54">
        <v>1</v>
      </c>
      <c r="E8" s="3" t="s">
        <v>629</v>
      </c>
      <c r="F8" s="72"/>
      <c r="G8" s="84"/>
    </row>
    <row r="9" spans="1:7" x14ac:dyDescent="0.3">
      <c r="A9" s="302"/>
      <c r="B9" s="223"/>
      <c r="C9" s="65"/>
      <c r="D9" s="44">
        <v>2</v>
      </c>
      <c r="E9" s="7" t="s">
        <v>628</v>
      </c>
      <c r="F9" s="77"/>
      <c r="G9" s="85"/>
    </row>
    <row r="10" spans="1:7" ht="15.75" customHeight="1" x14ac:dyDescent="0.3">
      <c r="A10" s="277" t="s">
        <v>350</v>
      </c>
      <c r="B10" s="222">
        <f>B8+1</f>
        <v>3</v>
      </c>
      <c r="C10" s="63" t="s">
        <v>707</v>
      </c>
      <c r="D10" s="54">
        <v>1</v>
      </c>
      <c r="E10" s="3" t="s">
        <v>710</v>
      </c>
      <c r="F10" s="79" t="s">
        <v>4</v>
      </c>
      <c r="G10" s="310">
        <f>B25</f>
        <v>6</v>
      </c>
    </row>
    <row r="11" spans="1:7" ht="12.75" customHeight="1" x14ac:dyDescent="0.3">
      <c r="A11" s="261"/>
      <c r="B11" s="225"/>
      <c r="C11" s="453" t="s">
        <v>11</v>
      </c>
      <c r="D11" s="69">
        <f t="shared" ref="D11:D20" si="0">D10+1</f>
        <v>2</v>
      </c>
      <c r="E11" s="6" t="s">
        <v>711</v>
      </c>
      <c r="F11" s="74"/>
    </row>
    <row r="12" spans="1:7" ht="12.75" customHeight="1" x14ac:dyDescent="0.3">
      <c r="A12" s="261"/>
      <c r="B12" s="225"/>
      <c r="C12" s="453"/>
      <c r="D12" s="69">
        <f t="shared" si="0"/>
        <v>3</v>
      </c>
      <c r="E12" s="6" t="s">
        <v>586</v>
      </c>
      <c r="F12" s="74"/>
    </row>
    <row r="13" spans="1:7" x14ac:dyDescent="0.3">
      <c r="A13" s="261"/>
      <c r="B13" s="225"/>
      <c r="C13" s="453"/>
      <c r="D13" s="69">
        <f t="shared" si="0"/>
        <v>4</v>
      </c>
      <c r="E13" s="6" t="s">
        <v>587</v>
      </c>
      <c r="F13" s="74"/>
    </row>
    <row r="14" spans="1:7" x14ac:dyDescent="0.3">
      <c r="A14" s="261"/>
      <c r="B14" s="225"/>
      <c r="C14" s="64"/>
      <c r="D14" s="69">
        <f t="shared" si="0"/>
        <v>5</v>
      </c>
      <c r="E14" s="6" t="s">
        <v>526</v>
      </c>
      <c r="F14" s="74"/>
    </row>
    <row r="15" spans="1:7" x14ac:dyDescent="0.3">
      <c r="A15" s="261"/>
      <c r="B15" s="225"/>
      <c r="C15" s="64"/>
      <c r="D15" s="69">
        <f t="shared" si="0"/>
        <v>6</v>
      </c>
      <c r="E15" s="6" t="s">
        <v>527</v>
      </c>
      <c r="F15" s="74"/>
    </row>
    <row r="16" spans="1:7" x14ac:dyDescent="0.3">
      <c r="A16" s="261"/>
      <c r="B16" s="225"/>
      <c r="C16" s="64"/>
      <c r="D16" s="69">
        <f t="shared" si="0"/>
        <v>7</v>
      </c>
      <c r="E16" s="6" t="s">
        <v>528</v>
      </c>
      <c r="F16" s="74"/>
    </row>
    <row r="17" spans="1:9" x14ac:dyDescent="0.3">
      <c r="A17" s="261"/>
      <c r="B17" s="225"/>
      <c r="C17" s="64"/>
      <c r="D17" s="69">
        <f t="shared" si="0"/>
        <v>8</v>
      </c>
      <c r="E17" s="6" t="s">
        <v>221</v>
      </c>
      <c r="F17" s="74"/>
    </row>
    <row r="18" spans="1:9" x14ac:dyDescent="0.3">
      <c r="A18" s="261"/>
      <c r="B18" s="225"/>
      <c r="C18" s="64"/>
      <c r="D18" s="69">
        <f t="shared" si="0"/>
        <v>9</v>
      </c>
      <c r="E18" s="6" t="s">
        <v>222</v>
      </c>
      <c r="F18" s="74"/>
    </row>
    <row r="19" spans="1:9" x14ac:dyDescent="0.3">
      <c r="A19" s="261"/>
      <c r="B19" s="225"/>
      <c r="C19" s="64"/>
      <c r="D19" s="69">
        <f t="shared" si="0"/>
        <v>10</v>
      </c>
      <c r="E19" s="6" t="s">
        <v>588</v>
      </c>
      <c r="F19" s="74"/>
    </row>
    <row r="20" spans="1:9" x14ac:dyDescent="0.3">
      <c r="A20" s="261"/>
      <c r="B20" s="225"/>
      <c r="C20" s="64"/>
      <c r="D20" s="69">
        <f t="shared" si="0"/>
        <v>11</v>
      </c>
      <c r="E20" s="6" t="s">
        <v>529</v>
      </c>
      <c r="F20" s="74"/>
    </row>
    <row r="21" spans="1:9" ht="17.25" customHeight="1" x14ac:dyDescent="0.3">
      <c r="A21" s="263"/>
      <c r="B21" s="223"/>
      <c r="C21" s="65"/>
      <c r="D21" s="44">
        <v>-96</v>
      </c>
      <c r="E21" s="7" t="s">
        <v>349</v>
      </c>
      <c r="F21" s="77"/>
      <c r="G21" s="85"/>
    </row>
    <row r="22" spans="1:9" ht="94.5" customHeight="1" x14ac:dyDescent="0.3">
      <c r="A22" s="277" t="s">
        <v>350</v>
      </c>
      <c r="B22" s="222">
        <v>4</v>
      </c>
      <c r="C22" s="65" t="s">
        <v>39</v>
      </c>
      <c r="D22" s="402" t="s">
        <v>168</v>
      </c>
      <c r="E22" s="403"/>
      <c r="F22" s="77"/>
      <c r="G22" s="85"/>
    </row>
    <row r="23" spans="1:9" ht="34.5" customHeight="1" x14ac:dyDescent="0.3">
      <c r="A23" s="277" t="s">
        <v>371</v>
      </c>
      <c r="B23" s="222" t="s">
        <v>36</v>
      </c>
      <c r="C23" s="5" t="s">
        <v>305</v>
      </c>
      <c r="D23" s="427" t="s">
        <v>80</v>
      </c>
      <c r="E23" s="427"/>
      <c r="F23" s="196"/>
      <c r="G23" s="199"/>
    </row>
    <row r="24" spans="1:9" ht="39.75" customHeight="1" x14ac:dyDescent="0.3">
      <c r="A24" s="277" t="s">
        <v>371</v>
      </c>
      <c r="B24" s="222" t="s">
        <v>37</v>
      </c>
      <c r="C24" s="5" t="s">
        <v>306</v>
      </c>
      <c r="D24" s="427" t="s">
        <v>80</v>
      </c>
      <c r="E24" s="427"/>
      <c r="F24" s="196"/>
      <c r="G24" s="199"/>
    </row>
    <row r="25" spans="1:9" ht="33" customHeight="1" x14ac:dyDescent="0.3">
      <c r="A25" s="278" t="s">
        <v>371</v>
      </c>
      <c r="B25" s="224">
        <v>6</v>
      </c>
      <c r="C25" s="276" t="s">
        <v>351</v>
      </c>
      <c r="D25" s="444" t="s">
        <v>360</v>
      </c>
      <c r="E25" s="445"/>
      <c r="F25" s="381" t="s">
        <v>271</v>
      </c>
      <c r="G25" s="382"/>
    </row>
    <row r="26" spans="1:9" ht="12" customHeight="1" x14ac:dyDescent="0.3">
      <c r="B26" s="269"/>
      <c r="C26" s="270"/>
      <c r="D26" s="59"/>
      <c r="E26" s="1"/>
      <c r="H26" s="70"/>
    </row>
    <row r="27" spans="1:9" s="26" customFormat="1" ht="13" x14ac:dyDescent="0.3">
      <c r="A27" s="425" t="s">
        <v>31</v>
      </c>
      <c r="B27" s="425"/>
      <c r="C27" s="425"/>
      <c r="D27" s="425"/>
      <c r="E27" s="425"/>
      <c r="F27" s="425"/>
      <c r="G27" s="425"/>
      <c r="H27" s="10"/>
      <c r="I27" s="10"/>
    </row>
    <row r="28" spans="1:9" s="26" customFormat="1" ht="33" customHeight="1" x14ac:dyDescent="0.3">
      <c r="A28" s="278" t="s">
        <v>371</v>
      </c>
      <c r="B28" s="224">
        <f>B25+1</f>
        <v>7</v>
      </c>
      <c r="C28" s="276" t="s">
        <v>40</v>
      </c>
      <c r="D28" s="444" t="s">
        <v>360</v>
      </c>
      <c r="E28" s="445"/>
      <c r="F28" s="292" t="s">
        <v>307</v>
      </c>
      <c r="G28" s="166" t="s">
        <v>74</v>
      </c>
      <c r="H28" s="10"/>
      <c r="I28" s="10"/>
    </row>
    <row r="29" spans="1:9" s="26" customFormat="1" ht="7.5" customHeight="1" x14ac:dyDescent="0.3">
      <c r="A29" s="284"/>
      <c r="B29" s="285"/>
      <c r="C29" s="117"/>
      <c r="D29" s="286"/>
      <c r="E29" s="287"/>
      <c r="F29" s="288"/>
      <c r="G29" s="288"/>
      <c r="H29" s="10"/>
      <c r="I29" s="10"/>
    </row>
    <row r="30" spans="1:9" s="26" customFormat="1" ht="53.25" customHeight="1" x14ac:dyDescent="0.3">
      <c r="A30" s="446" t="s">
        <v>217</v>
      </c>
      <c r="B30" s="447"/>
      <c r="C30" s="447"/>
      <c r="D30" s="447"/>
      <c r="E30" s="447"/>
      <c r="F30" s="447"/>
      <c r="G30" s="448"/>
      <c r="H30" s="1"/>
      <c r="I30" s="1"/>
    </row>
    <row r="31" spans="1:9" s="26" customFormat="1" ht="25.5" customHeight="1" x14ac:dyDescent="0.3">
      <c r="A31" s="207" t="s">
        <v>371</v>
      </c>
      <c r="B31" s="281">
        <f>B28+1</f>
        <v>8</v>
      </c>
      <c r="C31" s="271" t="s">
        <v>81</v>
      </c>
      <c r="D31" s="449" t="s">
        <v>360</v>
      </c>
      <c r="E31" s="450"/>
      <c r="F31" s="271"/>
      <c r="G31" s="289"/>
    </row>
    <row r="32" spans="1:9" s="26" customFormat="1" ht="26.25" customHeight="1" x14ac:dyDescent="0.3">
      <c r="A32" s="208" t="s">
        <v>371</v>
      </c>
      <c r="B32" s="282">
        <f>B31+1</f>
        <v>9</v>
      </c>
      <c r="C32" s="272" t="s">
        <v>82</v>
      </c>
      <c r="D32" s="440" t="s">
        <v>360</v>
      </c>
      <c r="E32" s="441"/>
      <c r="F32" s="272"/>
      <c r="G32" s="290"/>
    </row>
    <row r="33" spans="1:7" s="26" customFormat="1" ht="25.5" customHeight="1" x14ac:dyDescent="0.3">
      <c r="A33" s="208" t="s">
        <v>371</v>
      </c>
      <c r="B33" s="282">
        <f>B32+1</f>
        <v>10</v>
      </c>
      <c r="C33" s="272" t="s">
        <v>41</v>
      </c>
      <c r="D33" s="440" t="s">
        <v>360</v>
      </c>
      <c r="E33" s="441"/>
      <c r="F33" s="272"/>
      <c r="G33" s="290"/>
    </row>
    <row r="34" spans="1:7" s="26" customFormat="1" ht="18" customHeight="1" x14ac:dyDescent="0.3">
      <c r="A34" s="208" t="s">
        <v>371</v>
      </c>
      <c r="B34" s="282">
        <f t="shared" ref="B34:B44" si="1">B33+1</f>
        <v>11</v>
      </c>
      <c r="C34" s="272" t="s">
        <v>42</v>
      </c>
      <c r="D34" s="440" t="s">
        <v>360</v>
      </c>
      <c r="E34" s="441"/>
      <c r="F34" s="272"/>
      <c r="G34" s="290"/>
    </row>
    <row r="35" spans="1:7" s="26" customFormat="1" ht="18" customHeight="1" x14ac:dyDescent="0.3">
      <c r="A35" s="208" t="s">
        <v>371</v>
      </c>
      <c r="B35" s="282">
        <f t="shared" si="1"/>
        <v>12</v>
      </c>
      <c r="C35" s="272" t="s">
        <v>43</v>
      </c>
      <c r="D35" s="440" t="s">
        <v>360</v>
      </c>
      <c r="E35" s="441"/>
      <c r="F35" s="272"/>
      <c r="G35" s="290"/>
    </row>
    <row r="36" spans="1:7" s="26" customFormat="1" ht="18" customHeight="1" x14ac:dyDescent="0.3">
      <c r="A36" s="208" t="s">
        <v>371</v>
      </c>
      <c r="B36" s="282">
        <f t="shared" si="1"/>
        <v>13</v>
      </c>
      <c r="C36" s="272" t="s">
        <v>44</v>
      </c>
      <c r="D36" s="440" t="s">
        <v>360</v>
      </c>
      <c r="E36" s="441"/>
      <c r="F36" s="272"/>
      <c r="G36" s="290"/>
    </row>
    <row r="37" spans="1:7" s="26" customFormat="1" ht="18" customHeight="1" x14ac:dyDescent="0.3">
      <c r="A37" s="208" t="s">
        <v>371</v>
      </c>
      <c r="B37" s="282">
        <f t="shared" si="1"/>
        <v>14</v>
      </c>
      <c r="C37" s="272" t="s">
        <v>369</v>
      </c>
      <c r="D37" s="440" t="s">
        <v>360</v>
      </c>
      <c r="E37" s="441"/>
      <c r="F37" s="272"/>
      <c r="G37" s="290"/>
    </row>
    <row r="38" spans="1:7" s="26" customFormat="1" ht="18" customHeight="1" x14ac:dyDescent="0.3">
      <c r="A38" s="208" t="s">
        <v>371</v>
      </c>
      <c r="B38" s="282">
        <f t="shared" si="1"/>
        <v>15</v>
      </c>
      <c r="C38" s="272" t="s">
        <v>370</v>
      </c>
      <c r="D38" s="440" t="s">
        <v>360</v>
      </c>
      <c r="E38" s="441"/>
      <c r="F38" s="272"/>
      <c r="G38" s="290"/>
    </row>
    <row r="39" spans="1:7" s="26" customFormat="1" ht="18" customHeight="1" x14ac:dyDescent="0.3">
      <c r="A39" s="208" t="s">
        <v>371</v>
      </c>
      <c r="B39" s="282">
        <f t="shared" si="1"/>
        <v>16</v>
      </c>
      <c r="C39" s="272" t="s">
        <v>224</v>
      </c>
      <c r="D39" s="440" t="s">
        <v>360</v>
      </c>
      <c r="E39" s="441"/>
      <c r="F39" s="272"/>
      <c r="G39" s="290"/>
    </row>
    <row r="40" spans="1:7" s="26" customFormat="1" ht="18" customHeight="1" x14ac:dyDescent="0.3">
      <c r="A40" s="208" t="s">
        <v>371</v>
      </c>
      <c r="B40" s="282">
        <f t="shared" si="1"/>
        <v>17</v>
      </c>
      <c r="C40" s="272" t="s">
        <v>223</v>
      </c>
      <c r="D40" s="440" t="s">
        <v>360</v>
      </c>
      <c r="E40" s="441"/>
      <c r="F40" s="272"/>
      <c r="G40" s="290"/>
    </row>
    <row r="41" spans="1:7" s="26" customFormat="1" ht="18" customHeight="1" x14ac:dyDescent="0.3">
      <c r="A41" s="208" t="s">
        <v>371</v>
      </c>
      <c r="B41" s="282">
        <f t="shared" si="1"/>
        <v>18</v>
      </c>
      <c r="C41" s="272" t="s">
        <v>245</v>
      </c>
      <c r="D41" s="440" t="s">
        <v>360</v>
      </c>
      <c r="E41" s="441"/>
      <c r="F41" s="272"/>
      <c r="G41" s="290"/>
    </row>
    <row r="42" spans="1:7" s="26" customFormat="1" ht="18" customHeight="1" x14ac:dyDescent="0.3">
      <c r="A42" s="208" t="s">
        <v>371</v>
      </c>
      <c r="B42" s="282">
        <f t="shared" si="1"/>
        <v>19</v>
      </c>
      <c r="C42" s="272" t="s">
        <v>244</v>
      </c>
      <c r="D42" s="440" t="s">
        <v>360</v>
      </c>
      <c r="E42" s="441"/>
      <c r="F42" s="272"/>
      <c r="G42" s="290"/>
    </row>
    <row r="43" spans="1:7" s="26" customFormat="1" ht="18" customHeight="1" x14ac:dyDescent="0.3">
      <c r="A43" s="208" t="s">
        <v>371</v>
      </c>
      <c r="B43" s="282">
        <f t="shared" si="1"/>
        <v>20</v>
      </c>
      <c r="C43" s="272" t="s">
        <v>376</v>
      </c>
      <c r="D43" s="440" t="s">
        <v>360</v>
      </c>
      <c r="E43" s="441"/>
      <c r="F43" s="272"/>
      <c r="G43" s="290"/>
    </row>
    <row r="44" spans="1:7" s="26" customFormat="1" ht="18" customHeight="1" x14ac:dyDescent="0.3">
      <c r="A44" s="209" t="s">
        <v>371</v>
      </c>
      <c r="B44" s="282">
        <f t="shared" si="1"/>
        <v>21</v>
      </c>
      <c r="C44" s="321" t="s">
        <v>246</v>
      </c>
      <c r="D44" s="442" t="s">
        <v>360</v>
      </c>
      <c r="E44" s="443"/>
      <c r="F44" s="273"/>
      <c r="G44" s="291"/>
    </row>
  </sheetData>
  <mergeCells count="28">
    <mergeCell ref="D31:E31"/>
    <mergeCell ref="D23:E23"/>
    <mergeCell ref="D24:E24"/>
    <mergeCell ref="D25:E25"/>
    <mergeCell ref="A2:G2"/>
    <mergeCell ref="F25:G25"/>
    <mergeCell ref="A4:G4"/>
    <mergeCell ref="A6:A7"/>
    <mergeCell ref="C6:C7"/>
    <mergeCell ref="B6:B7"/>
    <mergeCell ref="D22:E22"/>
    <mergeCell ref="C11:C13"/>
    <mergeCell ref="D43:E43"/>
    <mergeCell ref="D44:E44"/>
    <mergeCell ref="A27:G27"/>
    <mergeCell ref="D35:E35"/>
    <mergeCell ref="D36:E36"/>
    <mergeCell ref="D37:E37"/>
    <mergeCell ref="D38:E38"/>
    <mergeCell ref="D32:E32"/>
    <mergeCell ref="D40:E40"/>
    <mergeCell ref="D28:E28"/>
    <mergeCell ref="D39:E39"/>
    <mergeCell ref="D42:E42"/>
    <mergeCell ref="D41:E41"/>
    <mergeCell ref="D33:E33"/>
    <mergeCell ref="D34:E34"/>
    <mergeCell ref="A30:G30"/>
  </mergeCells>
  <phoneticPr fontId="2" type="noConversion"/>
  <pageMargins left="0.7" right="0.7" top="0.7" bottom="0.7" header="0.3" footer="0.3"/>
  <pageSetup orientation="portrait" r:id="rId1"/>
  <rowBreaks count="1" manualBreakCount="1">
    <brk id="26" max="16383" man="1"/>
  </rowBreaks>
  <extLst>
    <ext xmlns:mx="http://schemas.microsoft.com/office/mac/excel/2008/main" uri="http://schemas.microsoft.com/office/mac/excel/2008/main">
      <mx:PLV Mode="1"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21"/>
  <sheetViews>
    <sheetView view="pageLayout" topLeftCell="A34" zoomScale="90" zoomScalePageLayoutView="90" workbookViewId="0">
      <selection activeCell="E6" sqref="E6"/>
    </sheetView>
  </sheetViews>
  <sheetFormatPr defaultColWidth="8.765625" defaultRowHeight="13.5" x14ac:dyDescent="0.3"/>
  <cols>
    <col min="1" max="1" width="5.765625" customWidth="1"/>
    <col min="2" max="2" width="26" customWidth="1"/>
    <col min="3" max="3" width="30.765625" customWidth="1"/>
    <col min="4" max="4" width="11.84375" customWidth="1"/>
    <col min="6" max="6" width="11.61328125" customWidth="1"/>
    <col min="7" max="7" width="10.84375" customWidth="1"/>
    <col min="8" max="8" width="12.3828125" customWidth="1"/>
    <col min="9" max="9" width="15.61328125" customWidth="1"/>
    <col min="12" max="12" width="4.3828125" customWidth="1"/>
    <col min="13" max="13" width="9.765625" customWidth="1"/>
    <col min="15" max="15" width="14.3828125" customWidth="1"/>
  </cols>
  <sheetData>
    <row r="1" spans="1:10" s="26" customFormat="1" ht="16" customHeight="1" x14ac:dyDescent="0.3">
      <c r="A1" s="391" t="s">
        <v>348</v>
      </c>
      <c r="B1" s="391"/>
      <c r="C1" s="391"/>
      <c r="D1" s="391"/>
      <c r="E1" s="391"/>
      <c r="F1" s="391"/>
      <c r="G1" s="391"/>
      <c r="H1" s="391"/>
    </row>
    <row r="3" spans="1:10" ht="42.75" customHeight="1" x14ac:dyDescent="0.3">
      <c r="A3" s="463" t="s">
        <v>29</v>
      </c>
      <c r="B3" s="463"/>
      <c r="C3" s="463"/>
      <c r="D3" s="463"/>
      <c r="E3" s="463"/>
      <c r="F3" s="463"/>
      <c r="G3" s="463"/>
      <c r="H3" s="463"/>
      <c r="I3" s="463"/>
    </row>
    <row r="4" spans="1:10" s="26" customFormat="1" ht="39.75" customHeight="1" x14ac:dyDescent="0.3">
      <c r="A4" s="318" t="s">
        <v>83</v>
      </c>
      <c r="B4" s="454" t="s">
        <v>32</v>
      </c>
      <c r="C4" s="455"/>
      <c r="D4" s="455"/>
      <c r="E4" s="456"/>
      <c r="F4" s="350" t="s">
        <v>169</v>
      </c>
      <c r="G4" s="393" t="s">
        <v>34</v>
      </c>
      <c r="H4" s="459"/>
      <c r="I4" s="86"/>
      <c r="J4" s="10"/>
    </row>
    <row r="5" spans="1:10" s="26" customFormat="1" ht="15.75" customHeight="1" x14ac:dyDescent="0.3">
      <c r="A5" s="283"/>
      <c r="B5" s="274"/>
      <c r="C5" s="275"/>
      <c r="D5" s="293"/>
      <c r="E5" s="293"/>
      <c r="F5" s="161"/>
      <c r="G5" s="161"/>
      <c r="H5" s="35"/>
      <c r="I5" s="35"/>
      <c r="J5" s="10"/>
    </row>
    <row r="6" spans="1:10" ht="109.5" customHeight="1" x14ac:dyDescent="0.3">
      <c r="A6" s="128" t="s">
        <v>84</v>
      </c>
      <c r="B6" s="128" t="s">
        <v>86</v>
      </c>
      <c r="C6" s="128" t="s">
        <v>85</v>
      </c>
      <c r="D6" s="129" t="s">
        <v>87</v>
      </c>
      <c r="E6" s="129" t="s">
        <v>88</v>
      </c>
      <c r="F6" s="460" t="s">
        <v>89</v>
      </c>
      <c r="G6" s="129" t="s">
        <v>90</v>
      </c>
      <c r="H6" s="128" t="s">
        <v>91</v>
      </c>
      <c r="I6" s="128" t="s">
        <v>92</v>
      </c>
    </row>
    <row r="7" spans="1:10" x14ac:dyDescent="0.3">
      <c r="A7" s="135"/>
      <c r="B7" s="84"/>
      <c r="C7" s="135"/>
      <c r="D7" s="460" t="s">
        <v>285</v>
      </c>
      <c r="E7" s="136" t="s">
        <v>486</v>
      </c>
      <c r="F7" s="461"/>
      <c r="G7" s="460" t="s">
        <v>475</v>
      </c>
      <c r="H7" s="134" t="s">
        <v>709</v>
      </c>
      <c r="I7" s="134" t="s">
        <v>340</v>
      </c>
    </row>
    <row r="8" spans="1:10" ht="23" x14ac:dyDescent="0.3">
      <c r="A8" s="110"/>
      <c r="C8" s="110"/>
      <c r="D8" s="461"/>
      <c r="E8" s="279" t="s">
        <v>487</v>
      </c>
      <c r="F8" s="461"/>
      <c r="G8" s="461"/>
      <c r="H8" s="280" t="s">
        <v>308</v>
      </c>
      <c r="I8" s="138" t="s">
        <v>341</v>
      </c>
    </row>
    <row r="9" spans="1:10" ht="15.75" customHeight="1" x14ac:dyDescent="0.3">
      <c r="A9" s="111"/>
      <c r="B9" s="85"/>
      <c r="C9" s="111"/>
      <c r="D9" s="462"/>
      <c r="E9" s="137"/>
      <c r="F9" s="462"/>
      <c r="G9" s="462"/>
      <c r="H9" s="344" t="s">
        <v>66</v>
      </c>
      <c r="I9" s="344" t="s">
        <v>66</v>
      </c>
    </row>
    <row r="10" spans="1:10" ht="25" customHeight="1" x14ac:dyDescent="0.3">
      <c r="A10" s="229" t="s">
        <v>377</v>
      </c>
      <c r="B10" s="127"/>
      <c r="C10" s="127"/>
      <c r="D10" s="126"/>
      <c r="E10" s="125"/>
      <c r="F10" s="125"/>
      <c r="G10" s="125"/>
      <c r="H10" s="125"/>
      <c r="I10" s="125"/>
    </row>
    <row r="11" spans="1:10" ht="25" customHeight="1" x14ac:dyDescent="0.3">
      <c r="A11" s="229" t="s">
        <v>378</v>
      </c>
      <c r="B11" s="127"/>
      <c r="C11" s="127"/>
      <c r="D11" s="126"/>
      <c r="E11" s="125"/>
      <c r="F11" s="125"/>
      <c r="G11" s="125"/>
      <c r="H11" s="125"/>
      <c r="I11" s="125"/>
    </row>
    <row r="12" spans="1:10" ht="25" customHeight="1" x14ac:dyDescent="0.3">
      <c r="A12" s="229" t="s">
        <v>379</v>
      </c>
      <c r="B12" s="127"/>
      <c r="C12" s="127"/>
      <c r="D12" s="126"/>
      <c r="E12" s="125"/>
      <c r="F12" s="125"/>
      <c r="G12" s="125"/>
      <c r="H12" s="125"/>
      <c r="I12" s="125"/>
    </row>
    <row r="13" spans="1:10" ht="25" customHeight="1" x14ac:dyDescent="0.3">
      <c r="A13" s="229" t="s">
        <v>380</v>
      </c>
      <c r="B13" s="127"/>
      <c r="C13" s="127"/>
      <c r="D13" s="126"/>
      <c r="E13" s="125"/>
      <c r="F13" s="125"/>
      <c r="G13" s="125"/>
      <c r="H13" s="125"/>
      <c r="I13" s="125"/>
    </row>
    <row r="14" spans="1:10" ht="25" customHeight="1" x14ac:dyDescent="0.3">
      <c r="A14" s="229" t="s">
        <v>381</v>
      </c>
      <c r="B14" s="127"/>
      <c r="C14" s="127"/>
      <c r="D14" s="126"/>
      <c r="E14" s="125"/>
      <c r="F14" s="125"/>
      <c r="G14" s="125"/>
      <c r="H14" s="125"/>
      <c r="I14" s="125"/>
    </row>
    <row r="15" spans="1:10" ht="25" customHeight="1" x14ac:dyDescent="0.3">
      <c r="A15" s="229" t="s">
        <v>382</v>
      </c>
      <c r="B15" s="127"/>
      <c r="C15" s="127"/>
      <c r="D15" s="126"/>
      <c r="E15" s="125"/>
      <c r="F15" s="125"/>
      <c r="G15" s="125"/>
      <c r="H15" s="125"/>
      <c r="I15" s="125"/>
    </row>
    <row r="16" spans="1:10" ht="25" customHeight="1" x14ac:dyDescent="0.3">
      <c r="A16" s="229" t="s">
        <v>383</v>
      </c>
      <c r="B16" s="127"/>
      <c r="C16" s="127"/>
      <c r="D16" s="126"/>
      <c r="E16" s="125"/>
      <c r="F16" s="125"/>
      <c r="G16" s="125"/>
      <c r="H16" s="125"/>
      <c r="I16" s="125"/>
    </row>
    <row r="17" spans="1:10" ht="25" customHeight="1" x14ac:dyDescent="0.3">
      <c r="A17" s="229" t="s">
        <v>384</v>
      </c>
      <c r="B17" s="127"/>
      <c r="C17" s="127"/>
      <c r="D17" s="126"/>
      <c r="E17" s="125"/>
      <c r="F17" s="125"/>
      <c r="G17" s="125"/>
      <c r="H17" s="125"/>
      <c r="I17" s="125"/>
    </row>
    <row r="19" spans="1:10" ht="12.75" customHeight="1" x14ac:dyDescent="0.3">
      <c r="A19" s="318" t="s">
        <v>93</v>
      </c>
      <c r="B19" s="454" t="s">
        <v>30</v>
      </c>
      <c r="C19" s="456"/>
      <c r="D19" s="339" t="s">
        <v>709</v>
      </c>
      <c r="E19" s="393" t="s">
        <v>95</v>
      </c>
      <c r="F19" s="459"/>
      <c r="G19" s="459"/>
      <c r="H19" s="459"/>
      <c r="I19" s="422"/>
    </row>
    <row r="20" spans="1:10" ht="12.75" customHeight="1" x14ac:dyDescent="0.3">
      <c r="A20" s="319"/>
      <c r="B20" s="457"/>
      <c r="C20" s="458"/>
      <c r="D20" s="340" t="s">
        <v>94</v>
      </c>
      <c r="E20" s="77"/>
      <c r="F20" s="85"/>
      <c r="G20" s="328"/>
      <c r="H20" s="317"/>
      <c r="I20" s="36"/>
    </row>
    <row r="21" spans="1:10" s="26" customFormat="1" ht="65.25" customHeight="1" x14ac:dyDescent="0.3">
      <c r="A21" s="318" t="s">
        <v>712</v>
      </c>
      <c r="B21" s="454" t="s">
        <v>33</v>
      </c>
      <c r="C21" s="455"/>
      <c r="D21" s="455"/>
      <c r="E21" s="455"/>
      <c r="F21" s="455"/>
      <c r="G21" s="455"/>
      <c r="H21" s="456"/>
      <c r="I21" s="349" t="s">
        <v>169</v>
      </c>
      <c r="J21" s="10"/>
    </row>
  </sheetData>
  <mergeCells count="10">
    <mergeCell ref="B21:H21"/>
    <mergeCell ref="B19:C20"/>
    <mergeCell ref="E19:I19"/>
    <mergeCell ref="A1:H1"/>
    <mergeCell ref="G7:G9"/>
    <mergeCell ref="D7:D9"/>
    <mergeCell ref="A3:I3"/>
    <mergeCell ref="F6:F9"/>
    <mergeCell ref="B4:E4"/>
    <mergeCell ref="G4:H4"/>
  </mergeCells>
  <phoneticPr fontId="2" type="noConversion"/>
  <pageMargins left="0.7" right="0.7" top="0.75" bottom="0.75" header="0.3" footer="0.3"/>
  <pageSetup scale="81" orientation="landscape" r:id="rId1"/>
  <headerFooter>
    <oddHeader>&amp;LTime Started Section: _______ Time finished section: ________ Notes: ___________________________</oddHeader>
  </headerFooter>
  <extLst>
    <ext xmlns:mx="http://schemas.microsoft.com/office/mac/excel/2008/main" uri="http://schemas.microsoft.com/office/mac/excel/2008/main">
      <mx:PLV Mode="1"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488"/>
  <sheetViews>
    <sheetView showWhiteSpace="0" view="pageLayout" topLeftCell="A94" workbookViewId="0">
      <selection activeCell="C95" sqref="C95"/>
    </sheetView>
  </sheetViews>
  <sheetFormatPr defaultColWidth="10.765625" defaultRowHeight="13" x14ac:dyDescent="0.3"/>
  <cols>
    <col min="1" max="1" width="2.15234375" style="26" customWidth="1"/>
    <col min="2" max="2" width="4" style="33" bestFit="1" customWidth="1"/>
    <col min="3" max="3" width="40.84375" style="26" customWidth="1"/>
    <col min="4" max="4" width="7" style="26" customWidth="1"/>
    <col min="5" max="5" width="30.23046875" style="26" customWidth="1"/>
    <col min="6" max="6" width="2.23046875" style="26" customWidth="1"/>
    <col min="7" max="7" width="2.61328125" style="26" customWidth="1"/>
    <col min="8" max="8" width="26.61328125" style="26" customWidth="1"/>
    <col min="9" max="16384" width="10.765625" style="26"/>
  </cols>
  <sheetData>
    <row r="1" spans="1:8" ht="16" customHeight="1" x14ac:dyDescent="0.3">
      <c r="B1" s="391" t="s">
        <v>434</v>
      </c>
      <c r="C1" s="486"/>
      <c r="D1" s="486"/>
      <c r="E1" s="486"/>
      <c r="F1" s="486"/>
      <c r="G1" s="486"/>
    </row>
    <row r="2" spans="1:8" ht="6" customHeight="1" x14ac:dyDescent="0.3">
      <c r="B2" s="1"/>
      <c r="C2" s="10"/>
      <c r="E2" s="33"/>
    </row>
    <row r="3" spans="1:8" ht="14.15" customHeight="1" x14ac:dyDescent="0.3">
      <c r="B3" s="487" t="s">
        <v>666</v>
      </c>
      <c r="C3" s="488"/>
      <c r="D3" s="488"/>
      <c r="E3" s="488"/>
      <c r="F3" s="488"/>
      <c r="G3" s="488"/>
    </row>
    <row r="4" spans="1:8" ht="3.75" customHeight="1" x14ac:dyDescent="0.3">
      <c r="B4" s="8"/>
      <c r="C4" s="13"/>
      <c r="D4" s="13"/>
      <c r="E4" s="13"/>
      <c r="F4" s="13"/>
      <c r="G4" s="13"/>
    </row>
    <row r="5" spans="1:8" ht="37.5" customHeight="1" x14ac:dyDescent="0.3">
      <c r="A5" s="489" t="s">
        <v>347</v>
      </c>
      <c r="B5" s="489"/>
      <c r="C5" s="489"/>
      <c r="D5" s="489"/>
      <c r="E5" s="489"/>
      <c r="F5" s="27"/>
      <c r="G5" s="27"/>
      <c r="H5" s="1"/>
    </row>
    <row r="6" spans="1:8" x14ac:dyDescent="0.3">
      <c r="A6" s="492" t="s">
        <v>642</v>
      </c>
      <c r="B6" s="493"/>
      <c r="C6" s="21" t="s">
        <v>663</v>
      </c>
      <c r="D6" s="22"/>
      <c r="E6" s="23" t="s">
        <v>647</v>
      </c>
      <c r="F6" s="414" t="s">
        <v>648</v>
      </c>
      <c r="G6" s="415"/>
      <c r="H6" s="9"/>
    </row>
    <row r="7" spans="1:8" ht="83.25" customHeight="1" x14ac:dyDescent="0.3">
      <c r="A7" s="188" t="s">
        <v>443</v>
      </c>
      <c r="B7" s="191">
        <v>1</v>
      </c>
      <c r="C7" s="5" t="s">
        <v>218</v>
      </c>
      <c r="D7" s="25"/>
      <c r="E7" s="166" t="s">
        <v>479</v>
      </c>
      <c r="F7" s="24"/>
      <c r="G7" s="24"/>
      <c r="H7" s="10"/>
    </row>
    <row r="8" spans="1:8" x14ac:dyDescent="0.3">
      <c r="A8" s="485" t="s">
        <v>443</v>
      </c>
      <c r="B8" s="474">
        <f>B7+1</f>
        <v>2</v>
      </c>
      <c r="C8" s="372" t="s">
        <v>458</v>
      </c>
      <c r="D8" s="18">
        <v>1</v>
      </c>
      <c r="E8" s="6" t="s">
        <v>680</v>
      </c>
      <c r="H8" s="10"/>
    </row>
    <row r="9" spans="1:8" x14ac:dyDescent="0.3">
      <c r="A9" s="480"/>
      <c r="B9" s="475"/>
      <c r="C9" s="465"/>
      <c r="D9" s="18">
        <v>2</v>
      </c>
      <c r="E9" s="6" t="s">
        <v>695</v>
      </c>
      <c r="H9" s="10"/>
    </row>
    <row r="10" spans="1:8" x14ac:dyDescent="0.3">
      <c r="A10" s="480"/>
      <c r="B10" s="475"/>
      <c r="C10" s="465"/>
      <c r="D10" s="18">
        <v>3</v>
      </c>
      <c r="E10" s="6" t="s">
        <v>696</v>
      </c>
    </row>
    <row r="11" spans="1:8" x14ac:dyDescent="0.3">
      <c r="A11" s="480"/>
      <c r="B11" s="475"/>
      <c r="C11" s="465"/>
      <c r="D11" s="18">
        <v>4</v>
      </c>
      <c r="E11" s="6" t="s">
        <v>664</v>
      </c>
      <c r="H11" s="10"/>
    </row>
    <row r="12" spans="1:8" x14ac:dyDescent="0.3">
      <c r="A12" s="480"/>
      <c r="B12" s="475"/>
      <c r="C12" s="465"/>
      <c r="D12" s="18">
        <v>5</v>
      </c>
      <c r="E12" s="6" t="s">
        <v>697</v>
      </c>
    </row>
    <row r="13" spans="1:8" x14ac:dyDescent="0.3">
      <c r="A13" s="480"/>
      <c r="B13" s="475"/>
      <c r="C13" s="465"/>
      <c r="D13" s="18">
        <v>6</v>
      </c>
      <c r="E13" s="6" t="s">
        <v>96</v>
      </c>
    </row>
    <row r="14" spans="1:8" ht="26" x14ac:dyDescent="0.3">
      <c r="A14" s="480"/>
      <c r="B14" s="475"/>
      <c r="C14" s="465"/>
      <c r="D14" s="18">
        <v>7</v>
      </c>
      <c r="E14" s="6" t="s">
        <v>237</v>
      </c>
    </row>
    <row r="15" spans="1:8" x14ac:dyDescent="0.3">
      <c r="A15" s="480"/>
      <c r="B15" s="475"/>
      <c r="C15" s="465"/>
      <c r="D15" s="18">
        <v>8</v>
      </c>
      <c r="E15" s="6" t="s">
        <v>698</v>
      </c>
    </row>
    <row r="16" spans="1:8" x14ac:dyDescent="0.3">
      <c r="A16" s="480"/>
      <c r="B16" s="475"/>
      <c r="C16" s="465"/>
      <c r="D16" s="18">
        <v>9</v>
      </c>
      <c r="E16" s="6" t="s">
        <v>689</v>
      </c>
    </row>
    <row r="17" spans="1:8" x14ac:dyDescent="0.3">
      <c r="A17" s="481"/>
      <c r="B17" s="476"/>
      <c r="C17" s="483"/>
      <c r="D17" s="20">
        <v>-99</v>
      </c>
      <c r="E17" s="15" t="s">
        <v>679</v>
      </c>
      <c r="F17" s="53"/>
      <c r="G17" s="27"/>
    </row>
    <row r="18" spans="1:8" x14ac:dyDescent="0.3">
      <c r="A18" s="479" t="s">
        <v>443</v>
      </c>
      <c r="B18" s="369">
        <f>B8+1</f>
        <v>3</v>
      </c>
      <c r="C18" s="371" t="s">
        <v>323</v>
      </c>
      <c r="D18" s="18">
        <v>1</v>
      </c>
      <c r="E18" s="6" t="s">
        <v>682</v>
      </c>
    </row>
    <row r="19" spans="1:8" x14ac:dyDescent="0.3">
      <c r="A19" s="490"/>
      <c r="B19" s="370"/>
      <c r="C19" s="465"/>
      <c r="D19" s="18">
        <v>2</v>
      </c>
      <c r="E19" s="6" t="s">
        <v>683</v>
      </c>
    </row>
    <row r="20" spans="1:8" x14ac:dyDescent="0.3">
      <c r="A20" s="490"/>
      <c r="B20" s="370"/>
      <c r="C20" s="465"/>
      <c r="D20" s="18">
        <v>3</v>
      </c>
      <c r="E20" s="6" t="s">
        <v>684</v>
      </c>
    </row>
    <row r="21" spans="1:8" x14ac:dyDescent="0.3">
      <c r="A21" s="490"/>
      <c r="B21" s="370"/>
      <c r="C21" s="465"/>
      <c r="D21" s="18">
        <v>4</v>
      </c>
      <c r="E21" s="6" t="s">
        <v>685</v>
      </c>
    </row>
    <row r="22" spans="1:8" x14ac:dyDescent="0.3">
      <c r="A22" s="490"/>
      <c r="B22" s="370"/>
      <c r="C22" s="465"/>
      <c r="D22" s="18">
        <v>5</v>
      </c>
      <c r="E22" s="6" t="s">
        <v>686</v>
      </c>
      <c r="H22" s="2"/>
    </row>
    <row r="23" spans="1:8" x14ac:dyDescent="0.3">
      <c r="A23" s="490"/>
      <c r="B23" s="370"/>
      <c r="C23" s="465"/>
      <c r="D23" s="18">
        <v>6</v>
      </c>
      <c r="E23" s="6" t="s">
        <v>700</v>
      </c>
      <c r="H23" s="2"/>
    </row>
    <row r="24" spans="1:8" x14ac:dyDescent="0.3">
      <c r="A24" s="490"/>
      <c r="B24" s="370"/>
      <c r="C24" s="465"/>
      <c r="D24" s="18">
        <v>7</v>
      </c>
      <c r="E24" s="6" t="s">
        <v>701</v>
      </c>
    </row>
    <row r="25" spans="1:8" x14ac:dyDescent="0.3">
      <c r="A25" s="490"/>
      <c r="B25" s="370"/>
      <c r="C25" s="465"/>
      <c r="D25" s="19">
        <v>-96</v>
      </c>
      <c r="E25" s="28" t="s">
        <v>662</v>
      </c>
    </row>
    <row r="26" spans="1:8" ht="12" customHeight="1" x14ac:dyDescent="0.3">
      <c r="A26" s="491"/>
      <c r="B26" s="383"/>
      <c r="C26" s="483"/>
      <c r="D26" s="20">
        <v>99</v>
      </c>
      <c r="E26" s="26" t="s">
        <v>679</v>
      </c>
      <c r="F26" s="53"/>
      <c r="G26" s="27"/>
      <c r="H26" s="1"/>
    </row>
    <row r="27" spans="1:8" x14ac:dyDescent="0.3">
      <c r="A27" s="479" t="s">
        <v>443</v>
      </c>
      <c r="B27" s="369">
        <f>B18+1</f>
        <v>4</v>
      </c>
      <c r="C27" s="371" t="s">
        <v>321</v>
      </c>
      <c r="D27" s="18">
        <v>1</v>
      </c>
      <c r="E27" s="3" t="s">
        <v>687</v>
      </c>
      <c r="H27" s="2"/>
    </row>
    <row r="28" spans="1:8" x14ac:dyDescent="0.3">
      <c r="A28" s="480"/>
      <c r="B28" s="475"/>
      <c r="C28" s="465"/>
      <c r="D28" s="18">
        <v>2</v>
      </c>
      <c r="E28" s="6" t="s">
        <v>694</v>
      </c>
      <c r="H28" s="2"/>
    </row>
    <row r="29" spans="1:8" x14ac:dyDescent="0.3">
      <c r="A29" s="480"/>
      <c r="B29" s="475"/>
      <c r="C29" s="465"/>
      <c r="D29" s="18">
        <v>3</v>
      </c>
      <c r="E29" s="6" t="s">
        <v>702</v>
      </c>
      <c r="H29" s="2"/>
    </row>
    <row r="30" spans="1:8" x14ac:dyDescent="0.3">
      <c r="A30" s="480"/>
      <c r="B30" s="475"/>
      <c r="C30" s="465"/>
      <c r="D30" s="18">
        <v>4</v>
      </c>
      <c r="E30" s="6" t="s">
        <v>685</v>
      </c>
      <c r="H30" s="2"/>
    </row>
    <row r="31" spans="1:8" x14ac:dyDescent="0.3">
      <c r="A31" s="480"/>
      <c r="B31" s="475"/>
      <c r="C31" s="465"/>
      <c r="D31" s="18">
        <v>5</v>
      </c>
      <c r="E31" s="6" t="s">
        <v>703</v>
      </c>
      <c r="H31" s="2"/>
    </row>
    <row r="32" spans="1:8" x14ac:dyDescent="0.3">
      <c r="A32" s="480"/>
      <c r="B32" s="475"/>
      <c r="C32" s="465"/>
      <c r="D32" s="18">
        <v>6</v>
      </c>
      <c r="E32" s="6" t="s">
        <v>668</v>
      </c>
      <c r="H32" s="2"/>
    </row>
    <row r="33" spans="1:8" x14ac:dyDescent="0.3">
      <c r="A33" s="480"/>
      <c r="B33" s="475"/>
      <c r="C33" s="465"/>
      <c r="D33" s="18">
        <v>7</v>
      </c>
      <c r="E33" s="6" t="s">
        <v>669</v>
      </c>
      <c r="H33" s="2"/>
    </row>
    <row r="34" spans="1:8" x14ac:dyDescent="0.3">
      <c r="A34" s="480"/>
      <c r="B34" s="475"/>
      <c r="C34" s="465"/>
      <c r="D34" s="18">
        <v>8</v>
      </c>
      <c r="E34" s="6" t="s">
        <v>670</v>
      </c>
      <c r="H34" s="2"/>
    </row>
    <row r="35" spans="1:8" x14ac:dyDescent="0.3">
      <c r="A35" s="480"/>
      <c r="B35" s="475"/>
      <c r="C35" s="465"/>
      <c r="D35" s="19">
        <v>9</v>
      </c>
      <c r="E35" s="6" t="s">
        <v>671</v>
      </c>
      <c r="H35" s="2"/>
    </row>
    <row r="36" spans="1:8" x14ac:dyDescent="0.3">
      <c r="A36" s="480"/>
      <c r="B36" s="475"/>
      <c r="C36" s="465"/>
      <c r="D36" s="18">
        <v>-96</v>
      </c>
      <c r="E36" s="28" t="s">
        <v>662</v>
      </c>
      <c r="H36" s="2"/>
    </row>
    <row r="37" spans="1:8" x14ac:dyDescent="0.3">
      <c r="A37" s="481"/>
      <c r="B37" s="476"/>
      <c r="C37" s="483"/>
      <c r="D37" s="26">
        <v>-99</v>
      </c>
      <c r="E37" s="26" t="s">
        <v>679</v>
      </c>
      <c r="F37" s="53"/>
      <c r="G37" s="27"/>
    </row>
    <row r="38" spans="1:8" x14ac:dyDescent="0.3">
      <c r="A38" s="468" t="s">
        <v>443</v>
      </c>
      <c r="B38" s="399">
        <f>B27+1</f>
        <v>5</v>
      </c>
      <c r="C38" s="371" t="s">
        <v>320</v>
      </c>
      <c r="D38" s="29">
        <v>1</v>
      </c>
      <c r="E38" s="16" t="s">
        <v>672</v>
      </c>
    </row>
    <row r="39" spans="1:8" x14ac:dyDescent="0.3">
      <c r="A39" s="480"/>
      <c r="B39" s="475"/>
      <c r="C39" s="465"/>
      <c r="D39" s="18">
        <v>2</v>
      </c>
      <c r="E39" s="11" t="s">
        <v>673</v>
      </c>
    </row>
    <row r="40" spans="1:8" x14ac:dyDescent="0.3">
      <c r="A40" s="480"/>
      <c r="B40" s="475"/>
      <c r="C40" s="465"/>
      <c r="D40" s="18">
        <v>3</v>
      </c>
      <c r="E40" s="11" t="s">
        <v>674</v>
      </c>
    </row>
    <row r="41" spans="1:8" x14ac:dyDescent="0.3">
      <c r="A41" s="480"/>
      <c r="B41" s="475"/>
      <c r="C41" s="465"/>
      <c r="D41" s="18">
        <v>4</v>
      </c>
      <c r="E41" s="11" t="s">
        <v>675</v>
      </c>
    </row>
    <row r="42" spans="1:8" x14ac:dyDescent="0.3">
      <c r="A42" s="480"/>
      <c r="B42" s="475"/>
      <c r="C42" s="465"/>
      <c r="D42" s="18">
        <v>5</v>
      </c>
      <c r="E42" s="11" t="s">
        <v>676</v>
      </c>
    </row>
    <row r="43" spans="1:8" x14ac:dyDescent="0.3">
      <c r="A43" s="480"/>
      <c r="B43" s="475"/>
      <c r="C43" s="465"/>
      <c r="D43" s="18">
        <v>6</v>
      </c>
      <c r="E43" s="11" t="s">
        <v>704</v>
      </c>
    </row>
    <row r="44" spans="1:8" x14ac:dyDescent="0.3">
      <c r="A44" s="480"/>
      <c r="B44" s="475"/>
      <c r="C44" s="465"/>
      <c r="D44" s="19">
        <v>-96</v>
      </c>
      <c r="E44" s="28" t="s">
        <v>662</v>
      </c>
    </row>
    <row r="45" spans="1:8" ht="17.25" customHeight="1" x14ac:dyDescent="0.3">
      <c r="A45" s="481"/>
      <c r="B45" s="476"/>
      <c r="C45" s="483"/>
      <c r="D45" s="20">
        <v>-99</v>
      </c>
      <c r="E45" s="15" t="s">
        <v>679</v>
      </c>
      <c r="F45" s="27"/>
      <c r="G45" s="27"/>
    </row>
    <row r="46" spans="1:8" x14ac:dyDescent="0.3">
      <c r="A46" s="468" t="s">
        <v>443</v>
      </c>
      <c r="B46" s="399">
        <f>B38+1</f>
        <v>6</v>
      </c>
      <c r="C46" s="371" t="s">
        <v>322</v>
      </c>
      <c r="D46" s="18">
        <v>1</v>
      </c>
      <c r="E46" s="11" t="s">
        <v>677</v>
      </c>
    </row>
    <row r="47" spans="1:8" x14ac:dyDescent="0.3">
      <c r="A47" s="480"/>
      <c r="B47" s="475"/>
      <c r="C47" s="465"/>
      <c r="D47" s="18">
        <f>D46+1</f>
        <v>2</v>
      </c>
      <c r="E47" s="11" t="s">
        <v>678</v>
      </c>
    </row>
    <row r="48" spans="1:8" x14ac:dyDescent="0.3">
      <c r="A48" s="480"/>
      <c r="B48" s="475"/>
      <c r="C48" s="465"/>
      <c r="D48" s="18">
        <f t="shared" ref="D48:D54" si="0">D47+1</f>
        <v>3</v>
      </c>
      <c r="E48" s="11" t="s">
        <v>564</v>
      </c>
    </row>
    <row r="49" spans="1:7" x14ac:dyDescent="0.3">
      <c r="A49" s="480"/>
      <c r="B49" s="475"/>
      <c r="C49" s="465"/>
      <c r="D49" s="18">
        <f t="shared" si="0"/>
        <v>4</v>
      </c>
      <c r="E49" s="11" t="s">
        <v>571</v>
      </c>
    </row>
    <row r="50" spans="1:7" x14ac:dyDescent="0.3">
      <c r="A50" s="480"/>
      <c r="B50" s="475"/>
      <c r="C50" s="465"/>
      <c r="D50" s="18">
        <f t="shared" si="0"/>
        <v>5</v>
      </c>
      <c r="E50" s="11" t="s">
        <v>690</v>
      </c>
    </row>
    <row r="51" spans="1:7" x14ac:dyDescent="0.3">
      <c r="A51" s="480"/>
      <c r="B51" s="475"/>
      <c r="C51" s="465"/>
      <c r="D51" s="18">
        <f t="shared" si="0"/>
        <v>6</v>
      </c>
      <c r="E51" s="11" t="s">
        <v>691</v>
      </c>
    </row>
    <row r="52" spans="1:7" x14ac:dyDescent="0.3">
      <c r="A52" s="480"/>
      <c r="B52" s="475"/>
      <c r="C52" s="465"/>
      <c r="D52" s="18">
        <f t="shared" si="0"/>
        <v>7</v>
      </c>
      <c r="E52" s="11" t="s">
        <v>692</v>
      </c>
    </row>
    <row r="53" spans="1:7" x14ac:dyDescent="0.3">
      <c r="A53" s="480"/>
      <c r="B53" s="475"/>
      <c r="C53" s="465"/>
      <c r="D53" s="18">
        <f t="shared" si="0"/>
        <v>8</v>
      </c>
      <c r="E53" s="11" t="s">
        <v>693</v>
      </c>
    </row>
    <row r="54" spans="1:7" x14ac:dyDescent="0.3">
      <c r="A54" s="480"/>
      <c r="B54" s="475"/>
      <c r="C54" s="465"/>
      <c r="D54" s="18">
        <f t="shared" si="0"/>
        <v>9</v>
      </c>
      <c r="E54" s="11" t="s">
        <v>655</v>
      </c>
    </row>
    <row r="55" spans="1:7" x14ac:dyDescent="0.3">
      <c r="A55" s="480"/>
      <c r="B55" s="475"/>
      <c r="C55" s="465"/>
      <c r="D55" s="18">
        <v>-96</v>
      </c>
      <c r="E55" s="28" t="s">
        <v>662</v>
      </c>
    </row>
    <row r="56" spans="1:7" ht="13" customHeight="1" x14ac:dyDescent="0.3">
      <c r="A56" s="480"/>
      <c r="B56" s="475"/>
      <c r="C56" s="465"/>
      <c r="D56" s="18">
        <v>-99</v>
      </c>
      <c r="E56" s="28" t="s">
        <v>679</v>
      </c>
      <c r="F56" s="27"/>
      <c r="G56" s="27"/>
    </row>
    <row r="57" spans="1:7" x14ac:dyDescent="0.3">
      <c r="A57" s="468" t="s">
        <v>443</v>
      </c>
      <c r="B57" s="399">
        <f>B46+1</f>
        <v>7</v>
      </c>
      <c r="C57" s="371" t="s">
        <v>572</v>
      </c>
      <c r="D57" s="167">
        <v>1</v>
      </c>
      <c r="E57" s="16" t="s">
        <v>294</v>
      </c>
    </row>
    <row r="58" spans="1:7" x14ac:dyDescent="0.3">
      <c r="A58" s="469"/>
      <c r="B58" s="477"/>
      <c r="C58" s="465"/>
      <c r="D58" s="18">
        <f>D57+1</f>
        <v>2</v>
      </c>
      <c r="E58" s="11" t="s">
        <v>296</v>
      </c>
    </row>
    <row r="59" spans="1:7" x14ac:dyDescent="0.3">
      <c r="A59" s="469"/>
      <c r="B59" s="477"/>
      <c r="C59" s="465"/>
      <c r="D59" s="18">
        <f t="shared" ref="D59:D63" si="1">D58+1</f>
        <v>3</v>
      </c>
      <c r="E59" s="11" t="s">
        <v>295</v>
      </c>
    </row>
    <row r="60" spans="1:7" x14ac:dyDescent="0.3">
      <c r="A60" s="469"/>
      <c r="B60" s="477"/>
      <c r="C60" s="465"/>
      <c r="D60" s="18">
        <f>D59+1</f>
        <v>4</v>
      </c>
      <c r="E60" s="11" t="s">
        <v>681</v>
      </c>
    </row>
    <row r="61" spans="1:7" x14ac:dyDescent="0.3">
      <c r="A61" s="469"/>
      <c r="B61" s="477"/>
      <c r="C61" s="465"/>
      <c r="D61" s="18">
        <f t="shared" si="1"/>
        <v>5</v>
      </c>
      <c r="E61" s="28" t="s">
        <v>297</v>
      </c>
    </row>
    <row r="62" spans="1:7" x14ac:dyDescent="0.3">
      <c r="A62" s="469"/>
      <c r="B62" s="477"/>
      <c r="C62" s="465"/>
      <c r="D62" s="18">
        <f t="shared" si="1"/>
        <v>6</v>
      </c>
      <c r="E62" s="28" t="s">
        <v>299</v>
      </c>
    </row>
    <row r="63" spans="1:7" x14ac:dyDescent="0.3">
      <c r="A63" s="469"/>
      <c r="B63" s="477"/>
      <c r="C63" s="465"/>
      <c r="D63" s="18">
        <f t="shared" si="1"/>
        <v>7</v>
      </c>
      <c r="E63" s="11" t="s">
        <v>298</v>
      </c>
      <c r="F63" s="76" t="s">
        <v>667</v>
      </c>
      <c r="G63" s="18">
        <f>B67</f>
        <v>9</v>
      </c>
    </row>
    <row r="64" spans="1:7" ht="13.5" x14ac:dyDescent="0.3">
      <c r="A64" s="263"/>
      <c r="B64" s="264"/>
      <c r="C64" s="262"/>
      <c r="D64" s="17">
        <v>-96</v>
      </c>
      <c r="E64" s="15" t="s">
        <v>662</v>
      </c>
    </row>
    <row r="65" spans="1:7" x14ac:dyDescent="0.3">
      <c r="A65" s="260" t="s">
        <v>413</v>
      </c>
      <c r="B65" s="183">
        <f>B57+1</f>
        <v>8</v>
      </c>
      <c r="C65" s="299" t="s">
        <v>300</v>
      </c>
      <c r="D65" s="167">
        <v>1</v>
      </c>
      <c r="E65" s="30" t="s">
        <v>649</v>
      </c>
    </row>
    <row r="66" spans="1:7" x14ac:dyDescent="0.3">
      <c r="A66" s="22"/>
      <c r="B66" s="186"/>
      <c r="C66" s="300"/>
      <c r="D66" s="17">
        <v>2</v>
      </c>
      <c r="E66" s="15" t="s">
        <v>650</v>
      </c>
    </row>
    <row r="67" spans="1:7" x14ac:dyDescent="0.3">
      <c r="A67" s="468" t="s">
        <v>443</v>
      </c>
      <c r="B67" s="399">
        <f>B65+1</f>
        <v>9</v>
      </c>
      <c r="C67" s="371" t="s">
        <v>483</v>
      </c>
      <c r="D67" s="29">
        <v>1</v>
      </c>
      <c r="E67" s="30" t="s">
        <v>387</v>
      </c>
      <c r="F67" s="79" t="s">
        <v>667</v>
      </c>
      <c r="G67" s="167">
        <f>B79</f>
        <v>11</v>
      </c>
    </row>
    <row r="68" spans="1:7" x14ac:dyDescent="0.3">
      <c r="A68" s="485"/>
      <c r="B68" s="474"/>
      <c r="C68" s="372"/>
      <c r="D68" s="19">
        <f>D67+1</f>
        <v>2</v>
      </c>
      <c r="E68" s="28" t="s">
        <v>293</v>
      </c>
      <c r="F68" s="60"/>
      <c r="G68" s="18"/>
    </row>
    <row r="69" spans="1:7" x14ac:dyDescent="0.3">
      <c r="A69" s="480"/>
      <c r="B69" s="475"/>
      <c r="C69" s="466"/>
      <c r="D69" s="19">
        <f t="shared" ref="D69:D76" si="2">D68+1</f>
        <v>3</v>
      </c>
      <c r="E69" s="11" t="s">
        <v>388</v>
      </c>
    </row>
    <row r="70" spans="1:7" x14ac:dyDescent="0.3">
      <c r="A70" s="480"/>
      <c r="B70" s="475"/>
      <c r="C70" s="466"/>
      <c r="D70" s="19">
        <f t="shared" si="2"/>
        <v>4</v>
      </c>
      <c r="E70" s="11" t="s">
        <v>389</v>
      </c>
    </row>
    <row r="71" spans="1:7" x14ac:dyDescent="0.3">
      <c r="A71" s="480"/>
      <c r="B71" s="475"/>
      <c r="C71" s="466"/>
      <c r="D71" s="19">
        <f t="shared" si="2"/>
        <v>5</v>
      </c>
      <c r="E71" s="11" t="s">
        <v>390</v>
      </c>
    </row>
    <row r="72" spans="1:7" x14ac:dyDescent="0.3">
      <c r="A72" s="480"/>
      <c r="B72" s="475"/>
      <c r="C72" s="466"/>
      <c r="D72" s="19">
        <f t="shared" si="2"/>
        <v>6</v>
      </c>
      <c r="E72" s="11" t="s">
        <v>699</v>
      </c>
    </row>
    <row r="73" spans="1:7" x14ac:dyDescent="0.3">
      <c r="A73" s="480"/>
      <c r="B73" s="475"/>
      <c r="C73" s="466"/>
      <c r="D73" s="19">
        <f t="shared" si="2"/>
        <v>7</v>
      </c>
      <c r="E73" s="11" t="s">
        <v>688</v>
      </c>
    </row>
    <row r="74" spans="1:7" x14ac:dyDescent="0.3">
      <c r="A74" s="480"/>
      <c r="B74" s="475"/>
      <c r="C74" s="466"/>
      <c r="D74" s="19">
        <f t="shared" si="2"/>
        <v>8</v>
      </c>
      <c r="E74" s="11" t="s">
        <v>391</v>
      </c>
    </row>
    <row r="75" spans="1:7" x14ac:dyDescent="0.3">
      <c r="A75" s="480"/>
      <c r="B75" s="475"/>
      <c r="C75" s="466"/>
      <c r="D75" s="19">
        <f t="shared" si="2"/>
        <v>9</v>
      </c>
      <c r="E75" s="11" t="s">
        <v>318</v>
      </c>
    </row>
    <row r="76" spans="1:7" x14ac:dyDescent="0.3">
      <c r="A76" s="480"/>
      <c r="B76" s="475"/>
      <c r="C76" s="466"/>
      <c r="D76" s="19">
        <f t="shared" si="2"/>
        <v>10</v>
      </c>
      <c r="E76" s="11" t="s">
        <v>392</v>
      </c>
      <c r="F76" s="76" t="s">
        <v>667</v>
      </c>
      <c r="G76" s="18">
        <f>B79</f>
        <v>11</v>
      </c>
    </row>
    <row r="77" spans="1:7" ht="15" customHeight="1" x14ac:dyDescent="0.3">
      <c r="A77" s="481"/>
      <c r="B77" s="476"/>
      <c r="C77" s="467"/>
      <c r="D77" s="20">
        <v>-96</v>
      </c>
      <c r="E77" s="15" t="s">
        <v>662</v>
      </c>
      <c r="F77" s="27"/>
      <c r="G77" s="27"/>
    </row>
    <row r="78" spans="1:7" ht="26" x14ac:dyDescent="0.3">
      <c r="A78" s="189" t="s">
        <v>443</v>
      </c>
      <c r="B78" s="182">
        <f>B67+1</f>
        <v>10</v>
      </c>
      <c r="C78" s="5" t="s">
        <v>256</v>
      </c>
      <c r="D78" s="385" t="s">
        <v>573</v>
      </c>
      <c r="E78" s="386"/>
      <c r="F78" s="24"/>
      <c r="G78" s="24"/>
    </row>
    <row r="79" spans="1:7" x14ac:dyDescent="0.3">
      <c r="A79" s="468" t="s">
        <v>443</v>
      </c>
      <c r="B79" s="399">
        <f>B78+1</f>
        <v>11</v>
      </c>
      <c r="C79" s="472" t="s">
        <v>255</v>
      </c>
      <c r="D79" s="18">
        <v>1</v>
      </c>
      <c r="E79" s="28" t="s">
        <v>649</v>
      </c>
    </row>
    <row r="80" spans="1:7" ht="39.75" customHeight="1" x14ac:dyDescent="0.3">
      <c r="A80" s="484"/>
      <c r="B80" s="401"/>
      <c r="C80" s="473"/>
      <c r="D80" s="17">
        <v>2</v>
      </c>
      <c r="E80" s="15" t="s">
        <v>650</v>
      </c>
      <c r="F80" s="76" t="s">
        <v>667</v>
      </c>
      <c r="G80" s="18">
        <f>B91</f>
        <v>16</v>
      </c>
    </row>
    <row r="81" spans="1:8" ht="54.75" customHeight="1" x14ac:dyDescent="0.3">
      <c r="A81" s="393" t="s">
        <v>210</v>
      </c>
      <c r="B81" s="459"/>
      <c r="C81" s="422"/>
      <c r="D81" s="169" t="s">
        <v>415</v>
      </c>
      <c r="E81" s="175" t="s">
        <v>414</v>
      </c>
      <c r="F81" s="79"/>
      <c r="G81" s="31"/>
    </row>
    <row r="82" spans="1:8" ht="22.5" customHeight="1" x14ac:dyDescent="0.3">
      <c r="A82" s="190" t="s">
        <v>443</v>
      </c>
      <c r="B82" s="182">
        <v>12</v>
      </c>
      <c r="C82" s="168" t="s">
        <v>476</v>
      </c>
      <c r="D82" s="170"/>
      <c r="E82" s="171"/>
      <c r="F82" s="76"/>
    </row>
    <row r="83" spans="1:8" ht="21.75" customHeight="1" x14ac:dyDescent="0.3">
      <c r="A83" s="190" t="s">
        <v>443</v>
      </c>
      <c r="B83" s="182">
        <f>B82+1</f>
        <v>13</v>
      </c>
      <c r="C83" s="168" t="s">
        <v>477</v>
      </c>
      <c r="D83" s="170"/>
      <c r="E83" s="171"/>
      <c r="F83" s="76"/>
    </row>
    <row r="84" spans="1:8" ht="24" customHeight="1" x14ac:dyDescent="0.3">
      <c r="A84" s="53" t="s">
        <v>443</v>
      </c>
      <c r="B84" s="182">
        <f t="shared" ref="B84:B85" si="3">B83+1</f>
        <v>14</v>
      </c>
      <c r="C84" s="168" t="s">
        <v>478</v>
      </c>
      <c r="D84" s="170"/>
      <c r="E84" s="171"/>
      <c r="F84" s="32"/>
      <c r="G84" s="27"/>
    </row>
    <row r="85" spans="1:8" ht="21.75" customHeight="1" x14ac:dyDescent="0.3">
      <c r="A85" s="53" t="s">
        <v>443</v>
      </c>
      <c r="B85" s="182">
        <f t="shared" si="3"/>
        <v>15</v>
      </c>
      <c r="C85" s="168" t="s">
        <v>317</v>
      </c>
      <c r="D85" s="170"/>
      <c r="E85" s="171"/>
    </row>
    <row r="86" spans="1:8" ht="111" customHeight="1" x14ac:dyDescent="0.3">
      <c r="B86" s="132"/>
      <c r="C86" s="306"/>
      <c r="D86" s="18"/>
      <c r="E86" s="307"/>
    </row>
    <row r="87" spans="1:8" ht="30.75" customHeight="1" x14ac:dyDescent="0.3">
      <c r="B87" s="132"/>
      <c r="C87" s="306"/>
      <c r="D87" s="18"/>
      <c r="E87" s="307"/>
    </row>
    <row r="88" spans="1:8" ht="13" customHeight="1" x14ac:dyDescent="0.3">
      <c r="B88" s="470" t="s">
        <v>225</v>
      </c>
      <c r="C88" s="471"/>
      <c r="D88" s="471"/>
      <c r="E88" s="471"/>
      <c r="F88" s="471"/>
      <c r="G88" s="471"/>
    </row>
    <row r="89" spans="1:8" ht="131.25" customHeight="1" x14ac:dyDescent="0.3">
      <c r="A89" s="425" t="s">
        <v>75</v>
      </c>
      <c r="B89" s="425"/>
      <c r="C89" s="425"/>
      <c r="D89" s="425"/>
      <c r="E89" s="482"/>
      <c r="F89" s="37"/>
      <c r="G89" s="37"/>
      <c r="H89" s="13"/>
    </row>
    <row r="90" spans="1:8" ht="41.25" customHeight="1" x14ac:dyDescent="0.3">
      <c r="A90" s="379" t="s">
        <v>162</v>
      </c>
      <c r="B90" s="464"/>
      <c r="C90" s="380"/>
      <c r="D90" s="379" t="s">
        <v>161</v>
      </c>
      <c r="E90" s="380"/>
      <c r="F90" s="14"/>
      <c r="G90" s="14"/>
    </row>
    <row r="91" spans="1:8" ht="15" customHeight="1" x14ac:dyDescent="0.3">
      <c r="A91" s="294" t="s">
        <v>443</v>
      </c>
      <c r="B91" s="191">
        <v>16</v>
      </c>
      <c r="C91" s="142" t="s">
        <v>283</v>
      </c>
      <c r="D91" s="478" t="s">
        <v>163</v>
      </c>
      <c r="E91" s="413"/>
      <c r="F91" s="35"/>
      <c r="G91" s="35"/>
    </row>
    <row r="92" spans="1:8" ht="12.75" customHeight="1" x14ac:dyDescent="0.3">
      <c r="A92" s="294" t="s">
        <v>443</v>
      </c>
      <c r="B92" s="191">
        <f t="shared" ref="B92" si="4">B91+1</f>
        <v>17</v>
      </c>
      <c r="C92" s="142" t="s">
        <v>565</v>
      </c>
      <c r="D92" s="478" t="s">
        <v>163</v>
      </c>
      <c r="E92" s="413"/>
      <c r="F92" s="35"/>
      <c r="G92" s="35"/>
    </row>
    <row r="93" spans="1:8" ht="12.75" customHeight="1" x14ac:dyDescent="0.3">
      <c r="A93" s="294" t="s">
        <v>443</v>
      </c>
      <c r="B93" s="191">
        <f>B92+1</f>
        <v>18</v>
      </c>
      <c r="C93" s="142" t="s">
        <v>641</v>
      </c>
      <c r="D93" s="478" t="s">
        <v>163</v>
      </c>
      <c r="E93" s="413"/>
      <c r="F93" s="35"/>
      <c r="G93" s="35"/>
    </row>
    <row r="94" spans="1:8" ht="12.75" customHeight="1" x14ac:dyDescent="0.3">
      <c r="A94" s="294" t="s">
        <v>443</v>
      </c>
      <c r="B94" s="191">
        <f>B93+1</f>
        <v>19</v>
      </c>
      <c r="C94" s="142" t="s">
        <v>574</v>
      </c>
      <c r="D94" s="478" t="s">
        <v>163</v>
      </c>
      <c r="E94" s="413"/>
      <c r="F94" s="35"/>
      <c r="G94" s="35"/>
    </row>
    <row r="95" spans="1:8" ht="12.75" customHeight="1" x14ac:dyDescent="0.3">
      <c r="A95" s="294" t="s">
        <v>443</v>
      </c>
      <c r="B95" s="191">
        <f t="shared" ref="B95" si="5">B94+1</f>
        <v>20</v>
      </c>
      <c r="C95" s="142" t="s">
        <v>226</v>
      </c>
      <c r="D95" s="478" t="s">
        <v>163</v>
      </c>
      <c r="E95" s="413"/>
      <c r="F95" s="35"/>
      <c r="G95" s="35"/>
    </row>
    <row r="96" spans="1:8" x14ac:dyDescent="0.3">
      <c r="A96" s="294"/>
      <c r="B96" s="192"/>
      <c r="C96" s="35"/>
      <c r="D96" s="35"/>
      <c r="E96" s="34"/>
      <c r="F96" s="35"/>
      <c r="G96" s="35"/>
    </row>
    <row r="97" spans="1:7" ht="12.75" customHeight="1" x14ac:dyDescent="0.3">
      <c r="A97" s="294" t="s">
        <v>443</v>
      </c>
      <c r="B97" s="191">
        <f>B95+1</f>
        <v>21</v>
      </c>
      <c r="C97" s="142" t="s">
        <v>654</v>
      </c>
      <c r="D97" s="478" t="s">
        <v>163</v>
      </c>
      <c r="E97" s="413"/>
      <c r="F97" s="35"/>
      <c r="G97" s="35"/>
    </row>
    <row r="98" spans="1:7" ht="12.75" customHeight="1" x14ac:dyDescent="0.3">
      <c r="A98" s="294" t="s">
        <v>443</v>
      </c>
      <c r="B98" s="191">
        <f>B97+1</f>
        <v>22</v>
      </c>
      <c r="C98" s="142" t="s">
        <v>324</v>
      </c>
      <c r="D98" s="478" t="s">
        <v>163</v>
      </c>
      <c r="E98" s="413"/>
      <c r="F98" s="35"/>
      <c r="G98" s="35"/>
    </row>
    <row r="99" spans="1:7" ht="12.75" customHeight="1" x14ac:dyDescent="0.3">
      <c r="A99" s="294" t="s">
        <v>443</v>
      </c>
      <c r="B99" s="191">
        <f t="shared" ref="B99:B102" si="6">B98+1</f>
        <v>23</v>
      </c>
      <c r="C99" s="142" t="s">
        <v>646</v>
      </c>
      <c r="D99" s="478" t="s">
        <v>163</v>
      </c>
      <c r="E99" s="413"/>
      <c r="F99" s="35"/>
      <c r="G99" s="35"/>
    </row>
    <row r="100" spans="1:7" ht="12" customHeight="1" x14ac:dyDescent="0.3">
      <c r="A100" s="294" t="s">
        <v>443</v>
      </c>
      <c r="B100" s="191">
        <f t="shared" si="6"/>
        <v>24</v>
      </c>
      <c r="C100" s="142" t="s">
        <v>640</v>
      </c>
      <c r="D100" s="478" t="s">
        <v>163</v>
      </c>
      <c r="E100" s="413"/>
      <c r="F100" s="35"/>
      <c r="G100" s="35"/>
    </row>
    <row r="101" spans="1:7" ht="12.75" customHeight="1" x14ac:dyDescent="0.3">
      <c r="A101" s="294" t="s">
        <v>443</v>
      </c>
      <c r="B101" s="191">
        <f t="shared" si="6"/>
        <v>25</v>
      </c>
      <c r="C101" s="142" t="s">
        <v>653</v>
      </c>
      <c r="D101" s="478" t="s">
        <v>163</v>
      </c>
      <c r="E101" s="413"/>
      <c r="F101" s="35"/>
      <c r="G101" s="35"/>
    </row>
    <row r="102" spans="1:7" ht="12.75" customHeight="1" x14ac:dyDescent="0.3">
      <c r="A102" s="294" t="s">
        <v>443</v>
      </c>
      <c r="B102" s="191">
        <f t="shared" si="6"/>
        <v>26</v>
      </c>
      <c r="C102" s="142" t="s">
        <v>446</v>
      </c>
      <c r="D102" s="478" t="s">
        <v>163</v>
      </c>
      <c r="E102" s="413"/>
      <c r="F102" s="35"/>
      <c r="G102" s="35"/>
    </row>
    <row r="103" spans="1:7" x14ac:dyDescent="0.3">
      <c r="A103" s="159"/>
      <c r="B103" s="179"/>
      <c r="C103" s="39"/>
      <c r="D103" s="10"/>
      <c r="E103" s="146"/>
      <c r="F103" s="10"/>
      <c r="G103" s="10"/>
    </row>
    <row r="104" spans="1:7" ht="12.75" customHeight="1" x14ac:dyDescent="0.3">
      <c r="A104" s="247" t="s">
        <v>443</v>
      </c>
      <c r="B104" s="240">
        <f>B102+1</f>
        <v>27</v>
      </c>
      <c r="C104" s="371" t="s">
        <v>282</v>
      </c>
      <c r="D104" s="54">
        <v>1</v>
      </c>
      <c r="E104" s="3" t="s">
        <v>649</v>
      </c>
    </row>
    <row r="105" spans="1:7" x14ac:dyDescent="0.3">
      <c r="A105" s="212"/>
      <c r="B105" s="210"/>
      <c r="C105" s="372"/>
      <c r="D105" s="69">
        <v>2</v>
      </c>
      <c r="E105" s="6" t="s">
        <v>650</v>
      </c>
    </row>
    <row r="106" spans="1:7" x14ac:dyDescent="0.3">
      <c r="A106" s="159"/>
      <c r="B106" s="11"/>
      <c r="C106" s="372"/>
      <c r="D106" s="69">
        <v>-98</v>
      </c>
      <c r="E106" s="6" t="s">
        <v>590</v>
      </c>
    </row>
    <row r="107" spans="1:7" x14ac:dyDescent="0.3">
      <c r="A107" s="53"/>
      <c r="B107" s="12"/>
      <c r="C107" s="384"/>
      <c r="D107" s="44">
        <v>-99</v>
      </c>
      <c r="E107" s="7" t="s">
        <v>589</v>
      </c>
    </row>
    <row r="108" spans="1:7" x14ac:dyDescent="0.3">
      <c r="A108" s="247" t="s">
        <v>443</v>
      </c>
      <c r="B108" s="240">
        <f>B104+1</f>
        <v>28</v>
      </c>
      <c r="C108" s="371" t="s">
        <v>281</v>
      </c>
      <c r="D108" s="54">
        <v>1</v>
      </c>
      <c r="E108" s="3" t="s">
        <v>649</v>
      </c>
    </row>
    <row r="109" spans="1:7" x14ac:dyDescent="0.3">
      <c r="A109" s="212"/>
      <c r="B109" s="210"/>
      <c r="C109" s="372"/>
      <c r="D109" s="69">
        <v>2</v>
      </c>
      <c r="E109" s="6" t="s">
        <v>650</v>
      </c>
    </row>
    <row r="110" spans="1:7" x14ac:dyDescent="0.3">
      <c r="A110" s="159"/>
      <c r="B110" s="11"/>
      <c r="C110" s="105"/>
      <c r="D110" s="69">
        <v>-98</v>
      </c>
      <c r="E110" s="6" t="s">
        <v>590</v>
      </c>
    </row>
    <row r="111" spans="1:7" x14ac:dyDescent="0.3">
      <c r="A111" s="53"/>
      <c r="B111" s="12"/>
      <c r="C111" s="106"/>
      <c r="D111" s="44">
        <v>-99</v>
      </c>
      <c r="E111" s="7" t="s">
        <v>589</v>
      </c>
    </row>
    <row r="129" ht="13.5" customHeight="1" x14ac:dyDescent="0.3"/>
    <row r="230" spans="2:2" x14ac:dyDescent="0.3">
      <c r="B230" s="8"/>
    </row>
    <row r="266" spans="6:7" x14ac:dyDescent="0.3">
      <c r="G266" s="38"/>
    </row>
    <row r="267" spans="6:7" x14ac:dyDescent="0.3">
      <c r="F267" s="33"/>
    </row>
    <row r="268" spans="6:7" x14ac:dyDescent="0.3">
      <c r="F268" s="33"/>
    </row>
    <row r="269" spans="6:7" x14ac:dyDescent="0.3">
      <c r="F269" s="33"/>
    </row>
    <row r="275" spans="2:2" x14ac:dyDescent="0.3">
      <c r="B275" s="8"/>
    </row>
    <row r="310" spans="2:2" x14ac:dyDescent="0.3">
      <c r="B310" s="8"/>
    </row>
    <row r="457" spans="2:2" x14ac:dyDescent="0.3">
      <c r="B457" s="8"/>
    </row>
    <row r="488" spans="2:2" x14ac:dyDescent="0.3">
      <c r="B488" s="193"/>
    </row>
  </sheetData>
  <mergeCells count="48">
    <mergeCell ref="D102:E102"/>
    <mergeCell ref="D95:E95"/>
    <mergeCell ref="D97:E97"/>
    <mergeCell ref="D98:E98"/>
    <mergeCell ref="D99:E99"/>
    <mergeCell ref="D100:E100"/>
    <mergeCell ref="B1:G1"/>
    <mergeCell ref="B3:G3"/>
    <mergeCell ref="F6:G6"/>
    <mergeCell ref="C8:C17"/>
    <mergeCell ref="C18:C26"/>
    <mergeCell ref="B8:B17"/>
    <mergeCell ref="B18:B26"/>
    <mergeCell ref="A5:E5"/>
    <mergeCell ref="A8:A17"/>
    <mergeCell ref="A18:A26"/>
    <mergeCell ref="A6:B6"/>
    <mergeCell ref="B46:B56"/>
    <mergeCell ref="A27:A37"/>
    <mergeCell ref="A38:A45"/>
    <mergeCell ref="A46:A56"/>
    <mergeCell ref="A89:E89"/>
    <mergeCell ref="C27:C37"/>
    <mergeCell ref="C38:C45"/>
    <mergeCell ref="C46:C56"/>
    <mergeCell ref="B38:B45"/>
    <mergeCell ref="B27:B37"/>
    <mergeCell ref="D78:E78"/>
    <mergeCell ref="A81:C81"/>
    <mergeCell ref="B79:B80"/>
    <mergeCell ref="A79:A80"/>
    <mergeCell ref="A67:A77"/>
    <mergeCell ref="A90:C90"/>
    <mergeCell ref="C108:C109"/>
    <mergeCell ref="C57:C63"/>
    <mergeCell ref="C67:C77"/>
    <mergeCell ref="A57:A63"/>
    <mergeCell ref="B88:G88"/>
    <mergeCell ref="C79:C80"/>
    <mergeCell ref="B67:B77"/>
    <mergeCell ref="B57:B63"/>
    <mergeCell ref="C104:C107"/>
    <mergeCell ref="D90:E90"/>
    <mergeCell ref="D91:E91"/>
    <mergeCell ref="D92:E92"/>
    <mergeCell ref="D93:E93"/>
    <mergeCell ref="D94:E94"/>
    <mergeCell ref="D101:E101"/>
  </mergeCells>
  <phoneticPr fontId="2"/>
  <pageMargins left="0.7" right="0.7" top="0.5" bottom="0.5" header="0.3" footer="0.3"/>
  <pageSetup scale="90" fitToHeight="0" orientation="portrait" horizontalDpi="4294967292" verticalDpi="4294967292" r:id="rId1"/>
  <headerFooter alignWithMargins="0">
    <oddHeader>&amp;LTime Started Section: _______ Time finished section: ________ Notes: ______________</oddHeader>
  </headerFooter>
  <rowBreaks count="2" manualBreakCount="2">
    <brk id="45" max="16383" man="1"/>
    <brk id="87" max="16383" man="1"/>
  </rowBreaks>
  <extLst>
    <ext xmlns:mx="http://schemas.microsoft.com/office/mac/excel/2008/main" uri="http://schemas.microsoft.com/office/mac/excel/2008/main">
      <mx:PLV Mode="1"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view="pageLayout" topLeftCell="A4" workbookViewId="0">
      <selection activeCell="C17" sqref="C17:C20"/>
    </sheetView>
  </sheetViews>
  <sheetFormatPr defaultColWidth="8.765625" defaultRowHeight="13.5" x14ac:dyDescent="0.3"/>
  <cols>
    <col min="1" max="1" width="2.23046875" bestFit="1" customWidth="1"/>
    <col min="2" max="2" width="2.3828125" style="97" customWidth="1"/>
    <col min="3" max="3" width="44.765625" customWidth="1"/>
    <col min="4" max="4" width="4.3828125" customWidth="1"/>
    <col min="5" max="5" width="37.84375" customWidth="1"/>
    <col min="6" max="6" width="34.3828125" customWidth="1"/>
  </cols>
  <sheetData>
    <row r="1" spans="1:5" ht="8.25" customHeight="1" x14ac:dyDescent="0.3"/>
    <row r="2" spans="1:5" ht="14.25" customHeight="1" x14ac:dyDescent="0.3">
      <c r="B2" s="391" t="s">
        <v>184</v>
      </c>
      <c r="C2" s="486"/>
      <c r="D2" s="486"/>
      <c r="E2" s="486"/>
    </row>
    <row r="3" spans="1:5" ht="9" customHeight="1" x14ac:dyDescent="0.3">
      <c r="B3" s="494"/>
      <c r="C3" s="494"/>
      <c r="D3" s="494"/>
      <c r="E3" s="494"/>
    </row>
    <row r="4" spans="1:5" ht="65.25" customHeight="1" x14ac:dyDescent="0.3">
      <c r="A4" s="495" t="s">
        <v>76</v>
      </c>
      <c r="B4" s="495"/>
      <c r="C4" s="495"/>
      <c r="D4" s="495"/>
      <c r="E4" s="496"/>
    </row>
    <row r="5" spans="1:5" x14ac:dyDescent="0.3">
      <c r="A5" s="479" t="s">
        <v>385</v>
      </c>
      <c r="B5" s="240">
        <v>1</v>
      </c>
      <c r="C5" s="371" t="s">
        <v>178</v>
      </c>
      <c r="D5" s="51">
        <v>1</v>
      </c>
      <c r="E5" s="89" t="s">
        <v>603</v>
      </c>
    </row>
    <row r="6" spans="1:5" x14ac:dyDescent="0.3">
      <c r="A6" s="497"/>
      <c r="B6" s="210"/>
      <c r="C6" s="372"/>
      <c r="D6" s="51">
        <v>2</v>
      </c>
      <c r="E6" s="89" t="s">
        <v>604</v>
      </c>
    </row>
    <row r="7" spans="1:5" x14ac:dyDescent="0.3">
      <c r="A7" s="497"/>
      <c r="B7" s="210"/>
      <c r="C7" s="372"/>
      <c r="D7" s="51">
        <v>3</v>
      </c>
      <c r="E7" s="89" t="s">
        <v>606</v>
      </c>
    </row>
    <row r="8" spans="1:5" ht="27.75" customHeight="1" x14ac:dyDescent="0.3">
      <c r="A8" s="498"/>
      <c r="B8" s="211"/>
      <c r="C8" s="384"/>
      <c r="D8" s="91">
        <v>4</v>
      </c>
      <c r="E8" s="7" t="s">
        <v>605</v>
      </c>
    </row>
    <row r="9" spans="1:5" ht="12.75" customHeight="1" x14ac:dyDescent="0.3">
      <c r="A9" s="479" t="s">
        <v>385</v>
      </c>
      <c r="B9" s="240">
        <f>B5+1</f>
        <v>2</v>
      </c>
      <c r="C9" s="371" t="s">
        <v>177</v>
      </c>
      <c r="D9" s="51">
        <v>1</v>
      </c>
      <c r="E9" s="89" t="s">
        <v>309</v>
      </c>
    </row>
    <row r="10" spans="1:5" x14ac:dyDescent="0.3">
      <c r="A10" s="497"/>
      <c r="B10" s="210"/>
      <c r="C10" s="372"/>
      <c r="D10" s="51">
        <v>2</v>
      </c>
      <c r="E10" s="89" t="s">
        <v>604</v>
      </c>
    </row>
    <row r="11" spans="1:5" x14ac:dyDescent="0.3">
      <c r="A11" s="497"/>
      <c r="B11" s="210"/>
      <c r="C11" s="372"/>
      <c r="D11" s="51">
        <v>3</v>
      </c>
      <c r="E11" s="89" t="s">
        <v>606</v>
      </c>
    </row>
    <row r="12" spans="1:5" ht="13.5" customHeight="1" x14ac:dyDescent="0.3">
      <c r="A12" s="498"/>
      <c r="B12" s="211"/>
      <c r="C12" s="384"/>
      <c r="D12" s="91">
        <v>4</v>
      </c>
      <c r="E12" s="90" t="s">
        <v>605</v>
      </c>
    </row>
    <row r="13" spans="1:5" ht="12.75" customHeight="1" x14ac:dyDescent="0.3">
      <c r="A13" s="479" t="s">
        <v>385</v>
      </c>
      <c r="B13" s="240">
        <f>B9+1</f>
        <v>3</v>
      </c>
      <c r="C13" s="372" t="s">
        <v>176</v>
      </c>
      <c r="D13" s="260">
        <v>1</v>
      </c>
      <c r="E13" s="257" t="s">
        <v>447</v>
      </c>
    </row>
    <row r="14" spans="1:5" x14ac:dyDescent="0.3">
      <c r="A14" s="497"/>
      <c r="B14" s="210"/>
      <c r="C14" s="372"/>
      <c r="D14" s="103">
        <v>2</v>
      </c>
      <c r="E14" s="89" t="s">
        <v>604</v>
      </c>
    </row>
    <row r="15" spans="1:5" x14ac:dyDescent="0.3">
      <c r="A15" s="497"/>
      <c r="B15" s="210"/>
      <c r="C15" s="372"/>
      <c r="D15" s="103">
        <v>3</v>
      </c>
      <c r="E15" s="89" t="s">
        <v>606</v>
      </c>
    </row>
    <row r="16" spans="1:5" x14ac:dyDescent="0.3">
      <c r="A16" s="498"/>
      <c r="B16" s="211"/>
      <c r="C16" s="384"/>
      <c r="D16" s="22">
        <v>4</v>
      </c>
      <c r="E16" s="90" t="s">
        <v>605</v>
      </c>
    </row>
    <row r="17" spans="1:5" x14ac:dyDescent="0.3">
      <c r="A17" s="479" t="s">
        <v>385</v>
      </c>
      <c r="B17" s="240">
        <f>B13+1</f>
        <v>4</v>
      </c>
      <c r="C17" s="371" t="s">
        <v>175</v>
      </c>
      <c r="D17" s="51">
        <v>1</v>
      </c>
      <c r="E17" s="89" t="s">
        <v>607</v>
      </c>
    </row>
    <row r="18" spans="1:5" x14ac:dyDescent="0.3">
      <c r="A18" s="497"/>
      <c r="B18" s="210"/>
      <c r="C18" s="372"/>
      <c r="D18" s="51">
        <v>2</v>
      </c>
      <c r="E18" s="89" t="s">
        <v>604</v>
      </c>
    </row>
    <row r="19" spans="1:5" x14ac:dyDescent="0.3">
      <c r="A19" s="497"/>
      <c r="B19" s="210"/>
      <c r="C19" s="372"/>
      <c r="D19" s="51">
        <v>3</v>
      </c>
      <c r="E19" s="89" t="s">
        <v>606</v>
      </c>
    </row>
    <row r="20" spans="1:5" ht="53.25" customHeight="1" x14ac:dyDescent="0.3">
      <c r="A20" s="498"/>
      <c r="B20" s="211"/>
      <c r="C20" s="384"/>
      <c r="D20" s="91">
        <v>4</v>
      </c>
      <c r="E20" s="7" t="s">
        <v>605</v>
      </c>
    </row>
    <row r="21" spans="1:5" ht="12.75" customHeight="1" x14ac:dyDescent="0.3">
      <c r="A21" s="479" t="s">
        <v>385</v>
      </c>
      <c r="B21" s="240">
        <f>B17+1</f>
        <v>5</v>
      </c>
      <c r="C21" s="371" t="s">
        <v>219</v>
      </c>
      <c r="D21" s="51">
        <v>1</v>
      </c>
      <c r="E21" s="89" t="s">
        <v>448</v>
      </c>
    </row>
    <row r="22" spans="1:5" x14ac:dyDescent="0.3">
      <c r="A22" s="497"/>
      <c r="B22" s="210"/>
      <c r="C22" s="372"/>
      <c r="D22" s="51">
        <v>2</v>
      </c>
      <c r="E22" s="89" t="s">
        <v>604</v>
      </c>
    </row>
    <row r="23" spans="1:5" x14ac:dyDescent="0.3">
      <c r="A23" s="497"/>
      <c r="B23" s="210"/>
      <c r="C23" s="372"/>
      <c r="D23" s="51">
        <v>3</v>
      </c>
      <c r="E23" s="89" t="s">
        <v>606</v>
      </c>
    </row>
    <row r="24" spans="1:5" ht="67.5" customHeight="1" x14ac:dyDescent="0.3">
      <c r="A24" s="498"/>
      <c r="B24" s="211"/>
      <c r="C24" s="384"/>
      <c r="D24" s="91">
        <v>4</v>
      </c>
      <c r="E24" s="7" t="s">
        <v>605</v>
      </c>
    </row>
  </sheetData>
  <mergeCells count="13">
    <mergeCell ref="C13:C16"/>
    <mergeCell ref="C9:C12"/>
    <mergeCell ref="C17:C20"/>
    <mergeCell ref="C21:C24"/>
    <mergeCell ref="B2:E2"/>
    <mergeCell ref="B3:E3"/>
    <mergeCell ref="A4:E4"/>
    <mergeCell ref="C5:C8"/>
    <mergeCell ref="A9:A12"/>
    <mergeCell ref="A5:A8"/>
    <mergeCell ref="A17:A20"/>
    <mergeCell ref="A21:A24"/>
    <mergeCell ref="A13:A16"/>
  </mergeCells>
  <phoneticPr fontId="2" type="noConversion"/>
  <pageMargins left="0.7" right="0.7" top="0.75" bottom="0.75" header="0.3" footer="0.3"/>
  <pageSetup orientation="landscape" r:id="rId1"/>
  <extLst>
    <ext xmlns:mx="http://schemas.microsoft.com/office/mac/excel/2008/main" uri="http://schemas.microsoft.com/office/mac/excel/2008/main">
      <mx:PLV Mode="1"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2:N35"/>
  <sheetViews>
    <sheetView showWhiteSpace="0" view="pageLayout" workbookViewId="0">
      <selection activeCell="C20" sqref="C20:C23"/>
    </sheetView>
  </sheetViews>
  <sheetFormatPr defaultColWidth="8.765625" defaultRowHeight="13.5" x14ac:dyDescent="0.3"/>
  <cols>
    <col min="1" max="1" width="2" bestFit="1" customWidth="1"/>
    <col min="2" max="2" width="3.23046875" customWidth="1"/>
    <col min="3" max="3" width="38.3828125" customWidth="1"/>
    <col min="4" max="4" width="4.3828125" customWidth="1"/>
    <col min="5" max="5" width="31.3828125" customWidth="1"/>
    <col min="6" max="6" width="2.84375" customWidth="1"/>
    <col min="7" max="7" width="2.765625" bestFit="1" customWidth="1"/>
  </cols>
  <sheetData>
    <row r="2" spans="1:14" ht="14.25" customHeight="1" x14ac:dyDescent="0.3">
      <c r="B2" s="391" t="s">
        <v>185</v>
      </c>
      <c r="C2" s="391"/>
      <c r="D2" s="391"/>
      <c r="E2" s="391"/>
      <c r="F2" s="120"/>
      <c r="G2" s="120"/>
      <c r="H2" s="120"/>
      <c r="I2" s="120"/>
      <c r="J2" s="120"/>
      <c r="K2" s="120"/>
      <c r="L2" s="120"/>
      <c r="M2" s="120"/>
      <c r="N2" s="120"/>
    </row>
    <row r="3" spans="1:14" ht="14.25" customHeight="1" x14ac:dyDescent="0.3">
      <c r="B3" s="174"/>
      <c r="C3" s="174"/>
      <c r="D3" s="174"/>
      <c r="E3" s="174"/>
      <c r="F3" s="120"/>
      <c r="G3" s="120"/>
      <c r="H3" s="120"/>
      <c r="I3" s="120"/>
      <c r="J3" s="120"/>
      <c r="K3" s="120"/>
      <c r="L3" s="120"/>
      <c r="M3" s="120"/>
      <c r="N3" s="120"/>
    </row>
    <row r="4" spans="1:14" ht="14.25" customHeight="1" x14ac:dyDescent="0.3">
      <c r="A4" s="499" t="s">
        <v>338</v>
      </c>
      <c r="B4" s="499"/>
      <c r="C4" s="499"/>
      <c r="D4" s="499"/>
      <c r="E4" s="499"/>
      <c r="F4" s="120"/>
      <c r="G4" s="120"/>
      <c r="H4" s="120"/>
      <c r="I4" s="120"/>
      <c r="J4" s="120"/>
      <c r="K4" s="120"/>
      <c r="L4" s="120"/>
      <c r="M4" s="120"/>
      <c r="N4" s="120"/>
    </row>
    <row r="5" spans="1:14" ht="14" x14ac:dyDescent="0.3">
      <c r="B5" s="494"/>
      <c r="C5" s="494"/>
      <c r="D5" s="494"/>
      <c r="E5" s="494"/>
    </row>
    <row r="6" spans="1:14" x14ac:dyDescent="0.3">
      <c r="A6" s="415" t="s">
        <v>642</v>
      </c>
      <c r="B6" s="500"/>
      <c r="C6" s="21" t="s">
        <v>663</v>
      </c>
      <c r="D6" s="22"/>
      <c r="E6" s="23" t="s">
        <v>647</v>
      </c>
      <c r="F6" s="414" t="s">
        <v>648</v>
      </c>
      <c r="G6" s="415"/>
    </row>
    <row r="7" spans="1:14" ht="33.75" customHeight="1" x14ac:dyDescent="0.3">
      <c r="A7" s="247" t="s">
        <v>420</v>
      </c>
      <c r="B7" s="240">
        <v>1</v>
      </c>
      <c r="C7" s="158" t="s">
        <v>339</v>
      </c>
      <c r="D7" s="501" t="s">
        <v>360</v>
      </c>
      <c r="E7" s="502"/>
      <c r="F7" s="38"/>
      <c r="G7" s="38"/>
    </row>
    <row r="8" spans="1:14" ht="17.25" customHeight="1" x14ac:dyDescent="0.3">
      <c r="A8" s="247" t="s">
        <v>420</v>
      </c>
      <c r="B8" s="240">
        <f>B7+1</f>
        <v>2</v>
      </c>
      <c r="C8" s="371" t="s">
        <v>238</v>
      </c>
      <c r="D8" s="54">
        <v>1</v>
      </c>
      <c r="E8" s="3" t="s">
        <v>649</v>
      </c>
      <c r="F8" s="94"/>
      <c r="G8" s="94"/>
    </row>
    <row r="9" spans="1:14" ht="24" customHeight="1" x14ac:dyDescent="0.3">
      <c r="A9" s="213"/>
      <c r="B9" s="211"/>
      <c r="C9" s="384"/>
      <c r="D9" s="44">
        <v>2</v>
      </c>
      <c r="E9" s="36" t="s">
        <v>650</v>
      </c>
      <c r="F9" s="57"/>
      <c r="G9" s="57"/>
    </row>
    <row r="10" spans="1:14" ht="12.75" customHeight="1" x14ac:dyDescent="0.3">
      <c r="A10" s="247" t="s">
        <v>420</v>
      </c>
      <c r="B10" s="210">
        <f>B8+1</f>
        <v>3</v>
      </c>
      <c r="C10" s="165" t="s">
        <v>361</v>
      </c>
      <c r="D10" s="69">
        <v>1</v>
      </c>
      <c r="E10" s="6" t="s">
        <v>649</v>
      </c>
      <c r="F10" s="38"/>
      <c r="G10" s="38"/>
    </row>
    <row r="11" spans="1:14" ht="13.5" customHeight="1" x14ac:dyDescent="0.3">
      <c r="A11" s="95"/>
      <c r="B11" s="11"/>
      <c r="C11" s="102"/>
      <c r="D11" s="69">
        <v>2</v>
      </c>
      <c r="E11" s="112" t="s">
        <v>650</v>
      </c>
      <c r="F11" s="32" t="s">
        <v>667</v>
      </c>
      <c r="G11" s="47">
        <f>B20</f>
        <v>7</v>
      </c>
    </row>
    <row r="12" spans="1:14" ht="13.5" customHeight="1" x14ac:dyDescent="0.3">
      <c r="A12" s="247" t="s">
        <v>420</v>
      </c>
      <c r="B12" s="240">
        <f>B10+1</f>
        <v>4</v>
      </c>
      <c r="C12" s="371" t="s">
        <v>79</v>
      </c>
      <c r="D12" s="54">
        <v>1</v>
      </c>
      <c r="E12" s="86" t="s">
        <v>649</v>
      </c>
      <c r="F12" s="38"/>
      <c r="G12" s="38"/>
    </row>
    <row r="13" spans="1:14" ht="54" customHeight="1" x14ac:dyDescent="0.3">
      <c r="A13" s="56"/>
      <c r="B13" s="12"/>
      <c r="C13" s="384"/>
      <c r="D13" s="44">
        <v>2</v>
      </c>
      <c r="E13" s="36" t="s">
        <v>650</v>
      </c>
      <c r="F13" s="38"/>
      <c r="G13" s="38"/>
    </row>
    <row r="14" spans="1:14" ht="15.75" customHeight="1" x14ac:dyDescent="0.3">
      <c r="A14" s="247" t="s">
        <v>420</v>
      </c>
      <c r="B14" s="184">
        <f>B12+1</f>
        <v>5</v>
      </c>
      <c r="C14" s="371" t="s">
        <v>78</v>
      </c>
      <c r="D14" s="54">
        <v>1</v>
      </c>
      <c r="E14" s="86" t="s">
        <v>649</v>
      </c>
      <c r="F14" s="38"/>
      <c r="G14" s="38"/>
    </row>
    <row r="15" spans="1:14" x14ac:dyDescent="0.3">
      <c r="A15" s="95"/>
      <c r="B15" s="11"/>
      <c r="C15" s="372"/>
      <c r="D15" s="69">
        <v>2</v>
      </c>
      <c r="E15" s="151" t="s">
        <v>650</v>
      </c>
      <c r="F15" s="38"/>
      <c r="G15" s="38"/>
    </row>
    <row r="16" spans="1:14" x14ac:dyDescent="0.3">
      <c r="A16" s="95"/>
      <c r="B16" s="11"/>
      <c r="C16" s="158"/>
      <c r="D16" s="44">
        <v>-99</v>
      </c>
      <c r="E16" s="36" t="s">
        <v>679</v>
      </c>
      <c r="F16" s="38"/>
      <c r="G16" s="38"/>
    </row>
    <row r="17" spans="1:7" ht="15.75" customHeight="1" x14ac:dyDescent="0.3">
      <c r="A17" s="247" t="s">
        <v>420</v>
      </c>
      <c r="B17" s="184">
        <f>B14+1</f>
        <v>6</v>
      </c>
      <c r="C17" s="371" t="s">
        <v>77</v>
      </c>
      <c r="D17" s="54">
        <v>1</v>
      </c>
      <c r="E17" s="86" t="s">
        <v>649</v>
      </c>
      <c r="F17" s="38"/>
      <c r="G17" s="38"/>
    </row>
    <row r="18" spans="1:7" x14ac:dyDescent="0.3">
      <c r="A18" s="95"/>
      <c r="B18" s="11"/>
      <c r="C18" s="372"/>
      <c r="D18" s="69">
        <v>2</v>
      </c>
      <c r="E18" s="151" t="s">
        <v>650</v>
      </c>
      <c r="F18" s="38"/>
      <c r="G18" s="38"/>
    </row>
    <row r="19" spans="1:7" x14ac:dyDescent="0.3">
      <c r="A19" s="95"/>
      <c r="B19" s="11"/>
      <c r="C19" s="158"/>
      <c r="D19" s="44">
        <v>-99</v>
      </c>
      <c r="E19" s="36" t="s">
        <v>679</v>
      </c>
      <c r="F19" s="38"/>
      <c r="G19" s="38"/>
    </row>
    <row r="20" spans="1:7" ht="12.75" customHeight="1" x14ac:dyDescent="0.3">
      <c r="A20" s="390" t="s">
        <v>420</v>
      </c>
      <c r="B20" s="369">
        <f>B17+1</f>
        <v>7</v>
      </c>
      <c r="C20" s="371" t="s">
        <v>6</v>
      </c>
      <c r="D20" s="122">
        <v>1</v>
      </c>
      <c r="E20" s="86" t="s">
        <v>566</v>
      </c>
      <c r="F20" s="76" t="s">
        <v>667</v>
      </c>
      <c r="G20" s="45">
        <f>B28</f>
        <v>9</v>
      </c>
    </row>
    <row r="21" spans="1:7" ht="12.75" customHeight="1" x14ac:dyDescent="0.3">
      <c r="A21" s="438"/>
      <c r="B21" s="433"/>
      <c r="C21" s="372"/>
      <c r="D21" s="121">
        <f>D20+1</f>
        <v>2</v>
      </c>
      <c r="E21" s="112" t="s">
        <v>567</v>
      </c>
      <c r="F21" s="76" t="s">
        <v>667</v>
      </c>
      <c r="G21" s="45">
        <f>B28</f>
        <v>9</v>
      </c>
    </row>
    <row r="22" spans="1:7" ht="30" customHeight="1" x14ac:dyDescent="0.3">
      <c r="A22" s="212"/>
      <c r="B22" s="210"/>
      <c r="C22" s="372"/>
      <c r="D22" s="121">
        <f t="shared" ref="D22:D23" si="0">D21+1</f>
        <v>3</v>
      </c>
      <c r="E22" s="112" t="s">
        <v>485</v>
      </c>
      <c r="F22" s="76" t="s">
        <v>667</v>
      </c>
      <c r="G22" s="45">
        <f>B28</f>
        <v>9</v>
      </c>
    </row>
    <row r="23" spans="1:7" ht="12.75" customHeight="1" x14ac:dyDescent="0.3">
      <c r="A23" s="213"/>
      <c r="B23" s="211"/>
      <c r="C23" s="384"/>
      <c r="D23" s="121">
        <f t="shared" si="0"/>
        <v>4</v>
      </c>
      <c r="E23" s="133" t="s">
        <v>568</v>
      </c>
      <c r="F23" s="32"/>
      <c r="G23" s="47"/>
    </row>
    <row r="24" spans="1:7" ht="12.75" customHeight="1" x14ac:dyDescent="0.3">
      <c r="A24" s="390" t="s">
        <v>420</v>
      </c>
      <c r="B24" s="369">
        <f>B20+1</f>
        <v>8</v>
      </c>
      <c r="C24" s="371" t="s">
        <v>248</v>
      </c>
      <c r="D24" s="122">
        <v>1</v>
      </c>
      <c r="E24" s="86" t="s">
        <v>249</v>
      </c>
    </row>
    <row r="25" spans="1:7" ht="12.75" customHeight="1" x14ac:dyDescent="0.3">
      <c r="A25" s="438"/>
      <c r="B25" s="433"/>
      <c r="C25" s="372"/>
      <c r="D25" s="121">
        <f>D24+1</f>
        <v>2</v>
      </c>
      <c r="E25" s="112" t="s">
        <v>250</v>
      </c>
    </row>
    <row r="26" spans="1:7" ht="30" customHeight="1" x14ac:dyDescent="0.3">
      <c r="A26" s="212"/>
      <c r="B26" s="210"/>
      <c r="C26" s="372"/>
      <c r="D26" s="121">
        <f t="shared" ref="D26:D27" si="1">D25+1</f>
        <v>3</v>
      </c>
      <c r="E26" s="112" t="s">
        <v>251</v>
      </c>
    </row>
    <row r="27" spans="1:7" ht="12.75" customHeight="1" x14ac:dyDescent="0.3">
      <c r="A27" s="213"/>
      <c r="B27" s="211"/>
      <c r="C27" s="384"/>
      <c r="D27" s="121">
        <f t="shared" si="1"/>
        <v>4</v>
      </c>
      <c r="E27" s="133" t="s">
        <v>568</v>
      </c>
      <c r="F27" s="32" t="s">
        <v>667</v>
      </c>
      <c r="G27" s="47">
        <f>B32</f>
        <v>11</v>
      </c>
    </row>
    <row r="28" spans="1:7" ht="12.75" customHeight="1" x14ac:dyDescent="0.3">
      <c r="A28" s="247" t="s">
        <v>420</v>
      </c>
      <c r="B28" s="240">
        <f>B24+1</f>
        <v>9</v>
      </c>
      <c r="C28" s="178" t="s">
        <v>358</v>
      </c>
      <c r="D28" s="54">
        <v>1</v>
      </c>
      <c r="E28" s="3" t="s">
        <v>649</v>
      </c>
      <c r="F28" s="60"/>
      <c r="G28" s="45"/>
    </row>
    <row r="29" spans="1:7" ht="12.75" customHeight="1" x14ac:dyDescent="0.3">
      <c r="A29" s="95"/>
      <c r="B29" s="11"/>
      <c r="C29" s="102"/>
      <c r="D29" s="69">
        <v>2</v>
      </c>
      <c r="E29" s="112" t="s">
        <v>650</v>
      </c>
      <c r="F29" s="32"/>
      <c r="G29" s="47"/>
    </row>
    <row r="30" spans="1:7" ht="12.75" customHeight="1" x14ac:dyDescent="0.3">
      <c r="A30" s="390" t="s">
        <v>420</v>
      </c>
      <c r="B30" s="369">
        <f>B28+1</f>
        <v>10</v>
      </c>
      <c r="C30" s="371" t="s">
        <v>359</v>
      </c>
      <c r="D30" s="54">
        <v>1</v>
      </c>
      <c r="E30" s="3" t="s">
        <v>649</v>
      </c>
      <c r="F30" s="84"/>
      <c r="G30" s="84"/>
    </row>
    <row r="31" spans="1:7" ht="12.75" customHeight="1" x14ac:dyDescent="0.3">
      <c r="A31" s="439"/>
      <c r="B31" s="434"/>
      <c r="C31" s="384"/>
      <c r="D31" s="44">
        <v>2</v>
      </c>
      <c r="E31" s="143" t="s">
        <v>650</v>
      </c>
      <c r="F31" s="32"/>
      <c r="G31" s="47"/>
    </row>
    <row r="32" spans="1:7" x14ac:dyDescent="0.3">
      <c r="A32" s="390" t="s">
        <v>420</v>
      </c>
      <c r="B32" s="369">
        <f>B30+1</f>
        <v>11</v>
      </c>
      <c r="C32" s="446" t="s">
        <v>319</v>
      </c>
      <c r="D32" s="54">
        <v>1</v>
      </c>
      <c r="E32" s="3" t="s">
        <v>649</v>
      </c>
      <c r="F32" s="94"/>
      <c r="G32" s="94"/>
    </row>
    <row r="33" spans="1:7" x14ac:dyDescent="0.3">
      <c r="A33" s="438"/>
      <c r="B33" s="433"/>
      <c r="C33" s="503"/>
      <c r="D33" s="69">
        <v>2</v>
      </c>
      <c r="E33" s="6" t="s">
        <v>650</v>
      </c>
      <c r="F33" s="76"/>
      <c r="G33" s="322"/>
    </row>
    <row r="34" spans="1:7" x14ac:dyDescent="0.3">
      <c r="A34" s="95"/>
      <c r="B34" s="11"/>
      <c r="C34" s="102"/>
      <c r="D34" s="69">
        <v>-98</v>
      </c>
      <c r="E34" s="6" t="s">
        <v>590</v>
      </c>
      <c r="F34" s="38"/>
      <c r="G34" s="38"/>
    </row>
    <row r="35" spans="1:7" x14ac:dyDescent="0.3">
      <c r="A35" s="56"/>
      <c r="B35" s="12"/>
      <c r="C35" s="21"/>
      <c r="D35" s="44">
        <v>-99</v>
      </c>
      <c r="E35" s="7" t="s">
        <v>589</v>
      </c>
      <c r="F35" s="57"/>
      <c r="G35" s="57"/>
    </row>
  </sheetData>
  <mergeCells count="22">
    <mergeCell ref="F6:G6"/>
    <mergeCell ref="B20:B21"/>
    <mergeCell ref="B30:B31"/>
    <mergeCell ref="C32:C33"/>
    <mergeCell ref="B32:B33"/>
    <mergeCell ref="C8:C9"/>
    <mergeCell ref="B24:B25"/>
    <mergeCell ref="C24:C27"/>
    <mergeCell ref="B2:E2"/>
    <mergeCell ref="B5:E5"/>
    <mergeCell ref="C20:C23"/>
    <mergeCell ref="C12:C13"/>
    <mergeCell ref="D7:E7"/>
    <mergeCell ref="A32:A33"/>
    <mergeCell ref="A20:A21"/>
    <mergeCell ref="A30:A31"/>
    <mergeCell ref="A4:E4"/>
    <mergeCell ref="C14:C15"/>
    <mergeCell ref="A6:B6"/>
    <mergeCell ref="C30:C31"/>
    <mergeCell ref="A24:A25"/>
    <mergeCell ref="C17:C18"/>
  </mergeCells>
  <phoneticPr fontId="2" type="noConversion"/>
  <pageMargins left="0.7" right="0.7" top="0.75" bottom="0.75" header="0.3" footer="0.3"/>
  <pageSetup scale="94" fitToHeight="0" orientation="portrait" r:id="rId1"/>
  <headerFooter>
    <oddHeader>&amp;LTime Started Section: _______ Time finished section: ________ Notes: ___________________________</oddHeader>
  </headerFooter>
  <extLst>
    <ext xmlns:mx="http://schemas.microsoft.com/office/mac/excel/2008/main" uri="http://schemas.microsoft.com/office/mac/excel/2008/main">
      <mx:PLV Mode="1"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T30"/>
  <sheetViews>
    <sheetView view="pageLayout" topLeftCell="B10" workbookViewId="0">
      <selection activeCell="K15" sqref="K15:L16"/>
    </sheetView>
  </sheetViews>
  <sheetFormatPr defaultColWidth="8.765625" defaultRowHeight="13.5" x14ac:dyDescent="0.3"/>
  <cols>
    <col min="1" max="1" width="0" hidden="1" customWidth="1"/>
    <col min="2" max="2" width="4.15234375" customWidth="1"/>
    <col min="3" max="3" width="7.15234375" customWidth="1"/>
    <col min="4" max="4" width="9.3828125" customWidth="1"/>
    <col min="5" max="5" width="17.3828125" customWidth="1"/>
    <col min="6" max="6" width="13.3828125" customWidth="1"/>
    <col min="7" max="7" width="10.15234375" customWidth="1"/>
    <col min="8" max="8" width="11.84375" customWidth="1"/>
    <col min="9" max="9" width="8.61328125" customWidth="1"/>
    <col min="10" max="10" width="11.765625" customWidth="1"/>
    <col min="11" max="11" width="8.3828125" customWidth="1"/>
    <col min="12" max="12" width="14.765625" bestFit="1" customWidth="1"/>
    <col min="13" max="13" width="16.23046875" customWidth="1"/>
    <col min="14" max="14" width="15.3828125" customWidth="1"/>
    <col min="15" max="15" width="16" customWidth="1"/>
    <col min="16" max="16" width="33.765625" bestFit="1" customWidth="1"/>
    <col min="17" max="17" width="50.84375" bestFit="1" customWidth="1"/>
  </cols>
  <sheetData>
    <row r="1" spans="2:18" ht="15" customHeight="1" x14ac:dyDescent="0.3">
      <c r="B1" s="391" t="s">
        <v>186</v>
      </c>
      <c r="C1" s="391"/>
      <c r="D1" s="391"/>
      <c r="E1" s="391"/>
      <c r="F1" s="391"/>
      <c r="G1" s="391"/>
      <c r="H1" s="391"/>
      <c r="I1" s="391"/>
      <c r="J1" s="391"/>
      <c r="K1" s="391"/>
      <c r="L1" s="391"/>
      <c r="M1" s="391"/>
      <c r="N1" s="391"/>
      <c r="O1" s="391"/>
      <c r="P1" s="120"/>
    </row>
    <row r="2" spans="2:18" ht="9.75" customHeight="1" x14ac:dyDescent="0.3">
      <c r="B2" s="233"/>
      <c r="C2" s="233"/>
      <c r="D2" s="233"/>
      <c r="E2" s="233"/>
      <c r="F2" s="233"/>
      <c r="G2" s="233"/>
      <c r="H2" s="233"/>
      <c r="I2" s="233"/>
      <c r="J2" s="233"/>
      <c r="K2" s="233"/>
      <c r="L2" s="233"/>
      <c r="M2" s="233"/>
      <c r="N2" s="233"/>
      <c r="O2" s="233"/>
      <c r="P2" s="4"/>
    </row>
    <row r="3" spans="2:18" ht="55.5" customHeight="1" thickBot="1" x14ac:dyDescent="0.35">
      <c r="B3" s="512" t="s">
        <v>386</v>
      </c>
      <c r="C3" s="513"/>
      <c r="D3" s="513"/>
      <c r="E3" s="513"/>
      <c r="F3" s="513"/>
      <c r="G3" s="513"/>
      <c r="H3" s="513"/>
      <c r="I3" s="513"/>
      <c r="J3" s="513"/>
      <c r="K3" s="513"/>
      <c r="L3" s="513"/>
      <c r="M3" s="513"/>
      <c r="N3" s="513"/>
      <c r="O3" s="514"/>
      <c r="P3" s="119"/>
    </row>
    <row r="4" spans="2:18" ht="18" customHeight="1" x14ac:dyDescent="0.3">
      <c r="B4" s="204" t="s">
        <v>405</v>
      </c>
      <c r="C4" s="508" t="s">
        <v>240</v>
      </c>
      <c r="D4" s="508"/>
      <c r="E4" s="508"/>
      <c r="F4" s="508" t="s">
        <v>445</v>
      </c>
      <c r="G4" s="508"/>
      <c r="H4" s="508"/>
      <c r="I4" s="508"/>
      <c r="J4" s="508"/>
      <c r="K4" s="508"/>
      <c r="L4" s="508"/>
      <c r="M4" s="508"/>
      <c r="N4" s="508"/>
      <c r="O4" s="520"/>
      <c r="P4" s="130"/>
      <c r="Q4" s="130"/>
      <c r="R4" s="130"/>
    </row>
    <row r="5" spans="2:18" ht="18" customHeight="1" x14ac:dyDescent="0.3">
      <c r="B5" s="205" t="s">
        <v>406</v>
      </c>
      <c r="C5" s="504" t="s">
        <v>407</v>
      </c>
      <c r="D5" s="504"/>
      <c r="E5" s="176"/>
      <c r="F5" s="504" t="s">
        <v>352</v>
      </c>
      <c r="G5" s="504"/>
      <c r="H5" s="504"/>
      <c r="I5" s="504"/>
      <c r="J5" s="504"/>
      <c r="K5" s="504"/>
      <c r="L5" s="504"/>
      <c r="M5" s="504"/>
      <c r="N5" s="504"/>
      <c r="O5" s="505"/>
      <c r="P5" s="130"/>
      <c r="Q5" s="130"/>
      <c r="R5" s="130"/>
    </row>
    <row r="6" spans="2:18" ht="15.75" customHeight="1" x14ac:dyDescent="0.3">
      <c r="B6" s="205" t="s">
        <v>409</v>
      </c>
      <c r="C6" s="176" t="s">
        <v>408</v>
      </c>
      <c r="D6" s="176"/>
      <c r="E6" s="176"/>
      <c r="F6" s="504" t="s">
        <v>292</v>
      </c>
      <c r="G6" s="504"/>
      <c r="H6" s="504"/>
      <c r="I6" s="504"/>
      <c r="J6" s="504"/>
      <c r="K6" s="504"/>
      <c r="L6" s="504"/>
      <c r="M6" s="504"/>
      <c r="N6" s="504"/>
      <c r="O6" s="505"/>
    </row>
    <row r="7" spans="2:18" ht="17.25" customHeight="1" x14ac:dyDescent="0.3">
      <c r="B7" s="205" t="s">
        <v>410</v>
      </c>
      <c r="C7" s="504" t="s">
        <v>411</v>
      </c>
      <c r="D7" s="504"/>
      <c r="E7" s="504"/>
      <c r="F7" s="504" t="s">
        <v>180</v>
      </c>
      <c r="G7" s="504"/>
      <c r="H7" s="504"/>
      <c r="I7" s="504"/>
      <c r="J7" s="504"/>
      <c r="K7" s="504"/>
      <c r="L7" s="504"/>
      <c r="M7" s="504"/>
      <c r="N7" s="504"/>
      <c r="O7" s="505"/>
    </row>
    <row r="8" spans="2:18" ht="18" customHeight="1" x14ac:dyDescent="0.3">
      <c r="B8" s="205" t="s">
        <v>413</v>
      </c>
      <c r="C8" s="504" t="s">
        <v>412</v>
      </c>
      <c r="D8" s="504"/>
      <c r="E8" s="504"/>
      <c r="F8" s="504" t="s">
        <v>290</v>
      </c>
      <c r="G8" s="504"/>
      <c r="H8" s="504"/>
      <c r="I8" s="504"/>
      <c r="J8" s="504"/>
      <c r="K8" s="504"/>
      <c r="L8" s="504"/>
      <c r="M8" s="504"/>
      <c r="N8" s="504"/>
      <c r="O8" s="505"/>
    </row>
    <row r="9" spans="2:18" ht="18" customHeight="1" x14ac:dyDescent="0.3">
      <c r="B9" s="205" t="s">
        <v>419</v>
      </c>
      <c r="C9" s="504" t="s">
        <v>422</v>
      </c>
      <c r="D9" s="504"/>
      <c r="E9" s="504"/>
      <c r="F9" s="504" t="s">
        <v>241</v>
      </c>
      <c r="G9" s="504"/>
      <c r="H9" s="504"/>
      <c r="I9" s="504"/>
      <c r="J9" s="504"/>
      <c r="K9" s="504"/>
      <c r="L9" s="504"/>
      <c r="M9" s="504"/>
      <c r="N9" s="504"/>
      <c r="O9" s="505"/>
    </row>
    <row r="10" spans="2:18" ht="18" customHeight="1" x14ac:dyDescent="0.3">
      <c r="B10" s="205" t="s">
        <v>420</v>
      </c>
      <c r="C10" s="504" t="s">
        <v>421</v>
      </c>
      <c r="D10" s="504"/>
      <c r="E10" s="504"/>
      <c r="F10" s="504" t="s">
        <v>291</v>
      </c>
      <c r="G10" s="504"/>
      <c r="H10" s="504"/>
      <c r="I10" s="504"/>
      <c r="J10" s="504"/>
      <c r="K10" s="504"/>
      <c r="L10" s="504"/>
      <c r="M10" s="504"/>
      <c r="N10" s="504"/>
      <c r="O10" s="505"/>
    </row>
    <row r="11" spans="2:18" ht="20.25" customHeight="1" thickBot="1" x14ac:dyDescent="0.35">
      <c r="B11" s="206" t="s">
        <v>423</v>
      </c>
      <c r="C11" s="506" t="s">
        <v>444</v>
      </c>
      <c r="D11" s="506"/>
      <c r="E11" s="506"/>
      <c r="F11" s="506" t="s">
        <v>179</v>
      </c>
      <c r="G11" s="506"/>
      <c r="H11" s="506"/>
      <c r="I11" s="506"/>
      <c r="J11" s="506"/>
      <c r="K11" s="506"/>
      <c r="L11" s="506"/>
      <c r="M11" s="506"/>
      <c r="N11" s="506"/>
      <c r="O11" s="507"/>
    </row>
    <row r="12" spans="2:18" ht="11.25" customHeight="1" x14ac:dyDescent="0.3">
      <c r="B12" s="234"/>
      <c r="C12" s="214"/>
      <c r="D12" s="214"/>
      <c r="E12" s="214"/>
      <c r="F12" s="214"/>
      <c r="G12" s="214"/>
      <c r="H12" s="214"/>
      <c r="I12" s="214"/>
      <c r="J12" s="214"/>
      <c r="K12" s="214"/>
      <c r="L12" s="214"/>
      <c r="M12" s="214"/>
      <c r="N12" s="214"/>
      <c r="O12" s="214"/>
    </row>
    <row r="13" spans="2:18" x14ac:dyDescent="0.3">
      <c r="B13" s="519" t="s">
        <v>354</v>
      </c>
      <c r="C13" s="519"/>
      <c r="D13" s="519"/>
      <c r="E13" s="519"/>
      <c r="F13" s="519"/>
      <c r="G13" s="519"/>
      <c r="H13" s="519"/>
      <c r="I13" s="519"/>
      <c r="J13" s="519"/>
      <c r="K13" s="519"/>
      <c r="L13" s="519"/>
      <c r="M13" s="519"/>
      <c r="N13" s="519"/>
      <c r="O13" s="519"/>
    </row>
    <row r="14" spans="2:18" ht="17.25" customHeight="1" x14ac:dyDescent="0.3">
      <c r="B14" s="510" t="s">
        <v>187</v>
      </c>
      <c r="C14" s="510"/>
      <c r="D14" s="195" t="s">
        <v>188</v>
      </c>
      <c r="E14" s="195" t="s">
        <v>189</v>
      </c>
      <c r="F14" s="195" t="s">
        <v>190</v>
      </c>
      <c r="G14" s="195" t="s">
        <v>191</v>
      </c>
      <c r="H14" s="195" t="s">
        <v>192</v>
      </c>
      <c r="I14" s="315" t="s">
        <v>193</v>
      </c>
      <c r="J14" s="315" t="s">
        <v>194</v>
      </c>
      <c r="K14" s="517" t="s">
        <v>195</v>
      </c>
      <c r="L14" s="518"/>
      <c r="M14" s="316" t="s">
        <v>196</v>
      </c>
      <c r="N14" s="195" t="s">
        <v>197</v>
      </c>
      <c r="O14" s="195" t="s">
        <v>198</v>
      </c>
    </row>
    <row r="15" spans="2:18" ht="22.5" customHeight="1" x14ac:dyDescent="0.3">
      <c r="B15" s="511" t="s">
        <v>534</v>
      </c>
      <c r="C15" s="511"/>
      <c r="D15" s="503" t="s">
        <v>367</v>
      </c>
      <c r="E15" s="372" t="s">
        <v>247</v>
      </c>
      <c r="F15" s="372" t="s">
        <v>97</v>
      </c>
      <c r="G15" s="503" t="s">
        <v>98</v>
      </c>
      <c r="H15" s="372" t="s">
        <v>99</v>
      </c>
      <c r="I15" s="372" t="s">
        <v>252</v>
      </c>
      <c r="J15" s="372" t="s">
        <v>254</v>
      </c>
      <c r="K15" s="503" t="s">
        <v>47</v>
      </c>
      <c r="L15" s="482"/>
      <c r="M15" s="372" t="s">
        <v>713</v>
      </c>
      <c r="N15" s="425" t="s">
        <v>239</v>
      </c>
      <c r="O15" s="372" t="s">
        <v>316</v>
      </c>
    </row>
    <row r="16" spans="2:18" ht="123" customHeight="1" x14ac:dyDescent="0.3">
      <c r="B16" s="473"/>
      <c r="C16" s="473"/>
      <c r="D16" s="515"/>
      <c r="E16" s="384"/>
      <c r="F16" s="384"/>
      <c r="G16" s="515"/>
      <c r="H16" s="384"/>
      <c r="I16" s="384"/>
      <c r="J16" s="384"/>
      <c r="K16" s="515"/>
      <c r="L16" s="516"/>
      <c r="M16" s="384"/>
      <c r="N16" s="489"/>
      <c r="O16" s="384"/>
    </row>
    <row r="17" spans="1:20" ht="102.75" customHeight="1" x14ac:dyDescent="0.3">
      <c r="B17" s="509"/>
      <c r="C17" s="509"/>
      <c r="D17" s="114" t="s">
        <v>45</v>
      </c>
      <c r="E17" s="114" t="s">
        <v>393</v>
      </c>
      <c r="F17" s="203" t="s">
        <v>48</v>
      </c>
      <c r="G17" s="114" t="s">
        <v>630</v>
      </c>
      <c r="H17" s="114" t="s">
        <v>393</v>
      </c>
      <c r="I17" s="309" t="s">
        <v>284</v>
      </c>
      <c r="J17" s="309" t="s">
        <v>46</v>
      </c>
      <c r="K17" s="5" t="s">
        <v>314</v>
      </c>
      <c r="L17" s="304" t="s">
        <v>315</v>
      </c>
      <c r="M17" s="114" t="s">
        <v>631</v>
      </c>
      <c r="N17" s="114" t="s">
        <v>631</v>
      </c>
      <c r="O17" s="114" t="s">
        <v>631</v>
      </c>
    </row>
    <row r="18" spans="1:20" ht="22" customHeight="1" x14ac:dyDescent="0.3">
      <c r="A18" s="217" t="s">
        <v>372</v>
      </c>
      <c r="B18" s="116" t="s">
        <v>632</v>
      </c>
      <c r="C18" s="115"/>
      <c r="D18" s="115"/>
      <c r="E18" s="173" t="s">
        <v>394</v>
      </c>
      <c r="F18" s="173"/>
      <c r="G18" s="173"/>
      <c r="H18" s="173" t="s">
        <v>394</v>
      </c>
      <c r="I18" s="173"/>
      <c r="J18" s="173"/>
      <c r="K18" s="173"/>
      <c r="L18" s="173" t="s">
        <v>575</v>
      </c>
      <c r="M18" s="173" t="s">
        <v>575</v>
      </c>
      <c r="N18" s="173" t="s">
        <v>575</v>
      </c>
      <c r="O18" s="173" t="s">
        <v>575</v>
      </c>
    </row>
    <row r="19" spans="1:20" ht="22" customHeight="1" x14ac:dyDescent="0.3">
      <c r="A19" s="217" t="s">
        <v>372</v>
      </c>
      <c r="B19" s="116" t="s">
        <v>633</v>
      </c>
      <c r="C19" s="115"/>
      <c r="D19" s="115"/>
      <c r="E19" s="173" t="s">
        <v>394</v>
      </c>
      <c r="F19" s="173"/>
      <c r="G19" s="173"/>
      <c r="H19" s="173" t="s">
        <v>394</v>
      </c>
      <c r="I19" s="173"/>
      <c r="J19" s="173"/>
      <c r="K19" s="173"/>
      <c r="L19" s="173" t="s">
        <v>575</v>
      </c>
      <c r="M19" s="173" t="s">
        <v>575</v>
      </c>
      <c r="N19" s="173" t="s">
        <v>575</v>
      </c>
      <c r="O19" s="173" t="s">
        <v>575</v>
      </c>
    </row>
    <row r="20" spans="1:20" ht="22" customHeight="1" x14ac:dyDescent="0.3">
      <c r="A20" s="217" t="s">
        <v>372</v>
      </c>
      <c r="B20" s="116" t="s">
        <v>634</v>
      </c>
      <c r="C20" s="115"/>
      <c r="D20" s="115"/>
      <c r="E20" s="173" t="s">
        <v>394</v>
      </c>
      <c r="F20" s="173"/>
      <c r="G20" s="173"/>
      <c r="H20" s="173" t="s">
        <v>394</v>
      </c>
      <c r="I20" s="173"/>
      <c r="J20" s="173"/>
      <c r="K20" s="173"/>
      <c r="L20" s="173" t="s">
        <v>575</v>
      </c>
      <c r="M20" s="173" t="s">
        <v>575</v>
      </c>
      <c r="N20" s="173" t="s">
        <v>575</v>
      </c>
      <c r="O20" s="173" t="s">
        <v>575</v>
      </c>
    </row>
    <row r="21" spans="1:20" ht="22" customHeight="1" x14ac:dyDescent="0.3">
      <c r="A21" s="217" t="s">
        <v>372</v>
      </c>
      <c r="B21" s="116" t="s">
        <v>635</v>
      </c>
      <c r="C21" s="115"/>
      <c r="D21" s="115"/>
      <c r="E21" s="173" t="s">
        <v>394</v>
      </c>
      <c r="F21" s="173"/>
      <c r="G21" s="173"/>
      <c r="H21" s="173" t="s">
        <v>394</v>
      </c>
      <c r="I21" s="173"/>
      <c r="J21" s="173"/>
      <c r="K21" s="173"/>
      <c r="L21" s="173" t="s">
        <v>575</v>
      </c>
      <c r="M21" s="173" t="s">
        <v>575</v>
      </c>
      <c r="N21" s="173" t="s">
        <v>575</v>
      </c>
      <c r="O21" s="173" t="s">
        <v>575</v>
      </c>
      <c r="R21" s="130"/>
      <c r="S21" s="130"/>
      <c r="T21" s="130"/>
    </row>
    <row r="22" spans="1:20" ht="22" customHeight="1" x14ac:dyDescent="0.3">
      <c r="A22" s="217" t="s">
        <v>372</v>
      </c>
      <c r="B22" s="116" t="s">
        <v>636</v>
      </c>
      <c r="C22" s="115"/>
      <c r="D22" s="115"/>
      <c r="E22" s="173" t="s">
        <v>394</v>
      </c>
      <c r="F22" s="173"/>
      <c r="G22" s="173"/>
      <c r="H22" s="173" t="s">
        <v>394</v>
      </c>
      <c r="I22" s="173"/>
      <c r="J22" s="173"/>
      <c r="K22" s="173"/>
      <c r="L22" s="173" t="s">
        <v>575</v>
      </c>
      <c r="M22" s="173" t="s">
        <v>575</v>
      </c>
      <c r="N22" s="173" t="s">
        <v>575</v>
      </c>
      <c r="O22" s="173" t="s">
        <v>575</v>
      </c>
      <c r="R22" s="130"/>
      <c r="S22" s="130"/>
      <c r="T22" s="130"/>
    </row>
    <row r="23" spans="1:20" ht="22" customHeight="1" x14ac:dyDescent="0.3">
      <c r="A23" s="217" t="s">
        <v>372</v>
      </c>
      <c r="B23" s="116" t="s">
        <v>637</v>
      </c>
      <c r="C23" s="115"/>
      <c r="D23" s="115"/>
      <c r="E23" s="173" t="s">
        <v>394</v>
      </c>
      <c r="F23" s="173"/>
      <c r="G23" s="173"/>
      <c r="H23" s="173" t="s">
        <v>394</v>
      </c>
      <c r="I23" s="173"/>
      <c r="J23" s="173"/>
      <c r="K23" s="173"/>
      <c r="L23" s="173" t="s">
        <v>575</v>
      </c>
      <c r="M23" s="173" t="s">
        <v>575</v>
      </c>
      <c r="N23" s="173" t="s">
        <v>575</v>
      </c>
      <c r="O23" s="173" t="s">
        <v>575</v>
      </c>
      <c r="R23" s="130"/>
      <c r="S23" s="130"/>
      <c r="T23" s="130"/>
    </row>
    <row r="24" spans="1:20" ht="22" customHeight="1" x14ac:dyDescent="0.3">
      <c r="A24" s="217" t="s">
        <v>372</v>
      </c>
      <c r="B24" s="116" t="s">
        <v>530</v>
      </c>
      <c r="C24" s="115"/>
      <c r="D24" s="115"/>
      <c r="E24" s="173" t="s">
        <v>394</v>
      </c>
      <c r="F24" s="173"/>
      <c r="G24" s="173"/>
      <c r="H24" s="173" t="s">
        <v>394</v>
      </c>
      <c r="I24" s="173"/>
      <c r="J24" s="173"/>
      <c r="K24" s="173"/>
      <c r="L24" s="173" t="s">
        <v>575</v>
      </c>
      <c r="M24" s="173" t="s">
        <v>575</v>
      </c>
      <c r="N24" s="173" t="s">
        <v>575</v>
      </c>
      <c r="O24" s="173" t="s">
        <v>575</v>
      </c>
      <c r="R24" s="130"/>
      <c r="S24" s="130"/>
      <c r="T24" s="130"/>
    </row>
    <row r="25" spans="1:20" ht="22" customHeight="1" x14ac:dyDescent="0.3">
      <c r="A25" s="217" t="s">
        <v>372</v>
      </c>
      <c r="B25" s="116" t="s">
        <v>531</v>
      </c>
      <c r="C25" s="115"/>
      <c r="D25" s="115"/>
      <c r="E25" s="173" t="s">
        <v>394</v>
      </c>
      <c r="F25" s="173"/>
      <c r="G25" s="173"/>
      <c r="H25" s="173" t="s">
        <v>394</v>
      </c>
      <c r="I25" s="173"/>
      <c r="J25" s="173"/>
      <c r="K25" s="173"/>
      <c r="L25" s="173" t="s">
        <v>575</v>
      </c>
      <c r="M25" s="173" t="s">
        <v>575</v>
      </c>
      <c r="N25" s="173" t="s">
        <v>575</v>
      </c>
      <c r="O25" s="173" t="s">
        <v>575</v>
      </c>
      <c r="R25" s="130"/>
      <c r="S25" s="130"/>
      <c r="T25" s="130"/>
    </row>
    <row r="26" spans="1:20" s="4" customFormat="1" ht="22" customHeight="1" x14ac:dyDescent="0.3">
      <c r="A26" s="218" t="s">
        <v>372</v>
      </c>
      <c r="B26" s="116" t="s">
        <v>532</v>
      </c>
      <c r="C26" s="115"/>
      <c r="D26" s="115"/>
      <c r="E26" s="173" t="s">
        <v>394</v>
      </c>
      <c r="F26" s="173"/>
      <c r="G26" s="173"/>
      <c r="H26" s="173" t="s">
        <v>394</v>
      </c>
      <c r="I26" s="173"/>
      <c r="J26" s="173"/>
      <c r="K26" s="173"/>
      <c r="L26" s="173" t="s">
        <v>575</v>
      </c>
      <c r="M26" s="173" t="s">
        <v>575</v>
      </c>
      <c r="N26" s="173" t="s">
        <v>575</v>
      </c>
      <c r="O26" s="173" t="s">
        <v>575</v>
      </c>
      <c r="R26" s="130"/>
      <c r="S26" s="130"/>
      <c r="T26" s="130"/>
    </row>
    <row r="27" spans="1:20" ht="22" customHeight="1" x14ac:dyDescent="0.3">
      <c r="A27" s="217" t="s">
        <v>372</v>
      </c>
      <c r="B27" s="116" t="s">
        <v>533</v>
      </c>
      <c r="C27" s="115"/>
      <c r="D27" s="115"/>
      <c r="E27" s="173" t="s">
        <v>394</v>
      </c>
      <c r="F27" s="173"/>
      <c r="G27" s="173"/>
      <c r="H27" s="173" t="s">
        <v>394</v>
      </c>
      <c r="I27" s="173"/>
      <c r="J27" s="173"/>
      <c r="K27" s="173"/>
      <c r="L27" s="173" t="s">
        <v>575</v>
      </c>
      <c r="M27" s="173" t="s">
        <v>575</v>
      </c>
      <c r="N27" s="173" t="s">
        <v>575</v>
      </c>
      <c r="O27" s="173" t="s">
        <v>575</v>
      </c>
      <c r="R27" s="130"/>
      <c r="S27" s="130"/>
      <c r="T27" s="130"/>
    </row>
    <row r="28" spans="1:20" x14ac:dyDescent="0.3">
      <c r="B28" s="92"/>
      <c r="C28" s="92"/>
      <c r="D28" s="92"/>
      <c r="E28" s="92"/>
      <c r="F28" s="92"/>
      <c r="G28" s="92"/>
      <c r="H28" s="92"/>
      <c r="I28" s="92"/>
      <c r="J28" s="92"/>
      <c r="K28" s="92"/>
      <c r="L28" s="92"/>
      <c r="M28" s="92"/>
      <c r="N28" s="92"/>
      <c r="O28" s="92"/>
      <c r="Q28" s="130"/>
      <c r="R28" s="130"/>
    </row>
    <row r="29" spans="1:20" ht="27" customHeight="1" x14ac:dyDescent="0.3"/>
    <row r="30" spans="1:20" ht="18" customHeight="1" x14ac:dyDescent="0.3"/>
  </sheetData>
  <mergeCells count="34">
    <mergeCell ref="B1:O1"/>
    <mergeCell ref="B3:O3"/>
    <mergeCell ref="E15:E16"/>
    <mergeCell ref="K15:L16"/>
    <mergeCell ref="K14:L14"/>
    <mergeCell ref="O15:O16"/>
    <mergeCell ref="G15:G16"/>
    <mergeCell ref="N15:N16"/>
    <mergeCell ref="B13:O13"/>
    <mergeCell ref="M15:M16"/>
    <mergeCell ref="D15:D16"/>
    <mergeCell ref="C11:E11"/>
    <mergeCell ref="F4:O4"/>
    <mergeCell ref="C5:D5"/>
    <mergeCell ref="F5:O5"/>
    <mergeCell ref="F6:O6"/>
    <mergeCell ref="C4:E4"/>
    <mergeCell ref="B17:C17"/>
    <mergeCell ref="H15:H16"/>
    <mergeCell ref="B14:C14"/>
    <mergeCell ref="B15:C15"/>
    <mergeCell ref="B16:C16"/>
    <mergeCell ref="F15:F16"/>
    <mergeCell ref="J15:J16"/>
    <mergeCell ref="C7:E7"/>
    <mergeCell ref="C8:E8"/>
    <mergeCell ref="C9:E9"/>
    <mergeCell ref="C10:E10"/>
    <mergeCell ref="F7:O7"/>
    <mergeCell ref="F8:O8"/>
    <mergeCell ref="F9:O9"/>
    <mergeCell ref="F10:O10"/>
    <mergeCell ref="F11:O11"/>
    <mergeCell ref="I15:I16"/>
  </mergeCells>
  <phoneticPr fontId="2" type="noConversion"/>
  <pageMargins left="0.45" right="0.45" top="0.5" bottom="0.45" header="0.3" footer="0.3"/>
  <pageSetup scale="69" orientation="landscape" r:id="rId1"/>
  <extLst>
    <ext xmlns:mx="http://schemas.microsoft.com/office/mac/excel/2008/main" uri="http://schemas.microsoft.com/office/mac/excel/2008/main">
      <mx:PLV Mode="1"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13"/>
  <sheetViews>
    <sheetView view="pageLayout" topLeftCell="A110" workbookViewId="0">
      <selection activeCell="E116" sqref="E116"/>
    </sheetView>
  </sheetViews>
  <sheetFormatPr defaultColWidth="8.765625" defaultRowHeight="13.5" x14ac:dyDescent="0.3"/>
  <cols>
    <col min="1" max="1" width="1.61328125" bestFit="1" customWidth="1"/>
    <col min="2" max="2" width="4" style="97" customWidth="1"/>
    <col min="3" max="3" width="45" customWidth="1"/>
    <col min="4" max="4" width="4.61328125" customWidth="1"/>
    <col min="5" max="5" width="27.23046875" customWidth="1"/>
    <col min="6" max="6" width="3.15234375" bestFit="1" customWidth="1"/>
    <col min="7" max="7" width="7.15234375" style="97" customWidth="1"/>
  </cols>
  <sheetData>
    <row r="1" spans="1:8" ht="4.5" customHeight="1" x14ac:dyDescent="0.3"/>
    <row r="2" spans="1:8" ht="15" customHeight="1" x14ac:dyDescent="0.3">
      <c r="C2" s="525" t="s">
        <v>199</v>
      </c>
      <c r="D2" s="525"/>
      <c r="E2" s="525"/>
      <c r="F2" s="58"/>
      <c r="G2" s="99"/>
      <c r="H2" s="58"/>
    </row>
    <row r="3" spans="1:8" ht="7.5" customHeight="1" x14ac:dyDescent="0.3"/>
    <row r="4" spans="1:8" ht="56.25" customHeight="1" x14ac:dyDescent="0.3">
      <c r="A4" s="392" t="s">
        <v>5</v>
      </c>
      <c r="B4" s="392"/>
      <c r="C4" s="392"/>
      <c r="D4" s="392"/>
      <c r="E4" s="392"/>
      <c r="F4" s="392"/>
      <c r="G4" s="392"/>
    </row>
    <row r="5" spans="1:8" ht="6.75" customHeight="1" x14ac:dyDescent="0.3">
      <c r="A5" s="154"/>
      <c r="B5" s="154"/>
      <c r="C5" s="154"/>
      <c r="D5" s="154"/>
      <c r="E5" s="305"/>
    </row>
    <row r="6" spans="1:8" s="26" customFormat="1" ht="13" x14ac:dyDescent="0.3">
      <c r="A6" s="529" t="s">
        <v>642</v>
      </c>
      <c r="B6" s="530"/>
      <c r="C6" s="21" t="s">
        <v>663</v>
      </c>
      <c r="D6" s="414" t="s">
        <v>647</v>
      </c>
      <c r="E6" s="500"/>
      <c r="F6" s="414" t="s">
        <v>648</v>
      </c>
      <c r="G6" s="415"/>
    </row>
    <row r="7" spans="1:8" x14ac:dyDescent="0.3">
      <c r="A7" s="531" t="s">
        <v>286</v>
      </c>
      <c r="B7" s="532"/>
      <c r="C7" s="533"/>
      <c r="D7" s="258"/>
      <c r="E7" s="259"/>
    </row>
    <row r="8" spans="1:8" ht="21.65" customHeight="1" x14ac:dyDescent="0.3">
      <c r="A8" s="69" t="s">
        <v>200</v>
      </c>
      <c r="B8" s="210">
        <v>1</v>
      </c>
      <c r="C8" s="253" t="s">
        <v>519</v>
      </c>
      <c r="D8" s="536" t="s">
        <v>576</v>
      </c>
      <c r="E8" s="537"/>
      <c r="F8" s="538" t="s">
        <v>257</v>
      </c>
      <c r="G8" s="539"/>
    </row>
    <row r="9" spans="1:8" ht="21.65" customHeight="1" x14ac:dyDescent="0.3">
      <c r="A9" s="69" t="s">
        <v>200</v>
      </c>
      <c r="B9" s="210">
        <f>B8+1</f>
        <v>2</v>
      </c>
      <c r="C9" s="254" t="s">
        <v>536</v>
      </c>
      <c r="D9" s="526" t="s">
        <v>576</v>
      </c>
      <c r="E9" s="527"/>
      <c r="F9" s="538"/>
      <c r="G9" s="539"/>
    </row>
    <row r="10" spans="1:8" ht="21.65" customHeight="1" x14ac:dyDescent="0.3">
      <c r="A10" s="69" t="s">
        <v>200</v>
      </c>
      <c r="B10" s="210">
        <f t="shared" ref="B10:B16" si="0">B9+1</f>
        <v>3</v>
      </c>
      <c r="C10" s="254" t="s">
        <v>537</v>
      </c>
      <c r="D10" s="526" t="s">
        <v>576</v>
      </c>
      <c r="E10" s="527"/>
    </row>
    <row r="11" spans="1:8" ht="21.65" customHeight="1" x14ac:dyDescent="0.3">
      <c r="A11" s="69" t="s">
        <v>200</v>
      </c>
      <c r="B11" s="210">
        <f t="shared" si="0"/>
        <v>4</v>
      </c>
      <c r="C11" s="254" t="s">
        <v>538</v>
      </c>
      <c r="D11" s="526" t="s">
        <v>576</v>
      </c>
      <c r="E11" s="527"/>
    </row>
    <row r="12" spans="1:8" ht="21.65" customHeight="1" x14ac:dyDescent="0.3">
      <c r="A12" s="69" t="s">
        <v>200</v>
      </c>
      <c r="B12" s="210">
        <f t="shared" si="0"/>
        <v>5</v>
      </c>
      <c r="C12" s="254" t="s">
        <v>539</v>
      </c>
      <c r="D12" s="526" t="s">
        <v>576</v>
      </c>
      <c r="E12" s="527"/>
    </row>
    <row r="13" spans="1:8" ht="21.65" customHeight="1" x14ac:dyDescent="0.3">
      <c r="A13" s="69" t="s">
        <v>200</v>
      </c>
      <c r="B13" s="210">
        <f t="shared" si="0"/>
        <v>6</v>
      </c>
      <c r="C13" s="254" t="s">
        <v>398</v>
      </c>
      <c r="D13" s="526" t="s">
        <v>576</v>
      </c>
      <c r="E13" s="527"/>
    </row>
    <row r="14" spans="1:8" ht="21.65" customHeight="1" x14ac:dyDescent="0.3">
      <c r="A14" s="69" t="s">
        <v>200</v>
      </c>
      <c r="B14" s="210">
        <f t="shared" si="0"/>
        <v>7</v>
      </c>
      <c r="C14" s="254" t="s">
        <v>368</v>
      </c>
      <c r="D14" s="526" t="s">
        <v>576</v>
      </c>
      <c r="E14" s="527"/>
    </row>
    <row r="15" spans="1:8" ht="21.65" customHeight="1" x14ac:dyDescent="0.3">
      <c r="A15" s="69" t="s">
        <v>200</v>
      </c>
      <c r="B15" s="210">
        <f t="shared" si="0"/>
        <v>8</v>
      </c>
      <c r="C15" s="254" t="s">
        <v>227</v>
      </c>
      <c r="D15" s="526" t="s">
        <v>576</v>
      </c>
      <c r="E15" s="527"/>
    </row>
    <row r="16" spans="1:8" ht="30" customHeight="1" x14ac:dyDescent="0.3">
      <c r="A16" s="69" t="s">
        <v>200</v>
      </c>
      <c r="B16" s="210">
        <f t="shared" si="0"/>
        <v>9</v>
      </c>
      <c r="C16" s="255" t="s">
        <v>228</v>
      </c>
      <c r="D16" s="540" t="s">
        <v>576</v>
      </c>
      <c r="E16" s="541"/>
    </row>
    <row r="17" spans="1:7" ht="12.75" customHeight="1" x14ac:dyDescent="0.3">
      <c r="A17" s="54" t="s">
        <v>200</v>
      </c>
      <c r="B17" s="240">
        <f>B16+1</f>
        <v>10</v>
      </c>
      <c r="C17" s="380" t="s">
        <v>541</v>
      </c>
      <c r="D17" s="54">
        <v>1</v>
      </c>
      <c r="E17" s="3" t="s">
        <v>649</v>
      </c>
      <c r="F17" s="72"/>
      <c r="G17" s="156"/>
    </row>
    <row r="18" spans="1:7" x14ac:dyDescent="0.3">
      <c r="A18" s="235"/>
      <c r="B18" s="241"/>
      <c r="C18" s="380"/>
      <c r="D18" s="44">
        <v>2</v>
      </c>
      <c r="E18" s="7" t="s">
        <v>650</v>
      </c>
      <c r="F18" s="26" t="s">
        <v>535</v>
      </c>
      <c r="G18" s="132" t="str">
        <f>B20</f>
        <v>12.a.</v>
      </c>
    </row>
    <row r="19" spans="1:7" ht="36" customHeight="1" x14ac:dyDescent="0.3">
      <c r="A19" s="236" t="s">
        <v>200</v>
      </c>
      <c r="B19" s="191">
        <f>B17+1</f>
        <v>11</v>
      </c>
      <c r="C19" s="40" t="s">
        <v>542</v>
      </c>
      <c r="D19" s="385" t="s">
        <v>576</v>
      </c>
      <c r="E19" s="386"/>
      <c r="F19" s="131"/>
      <c r="G19" s="157"/>
    </row>
    <row r="20" spans="1:7" ht="15.75" customHeight="1" x14ac:dyDescent="0.3">
      <c r="A20" s="54" t="s">
        <v>200</v>
      </c>
      <c r="B20" s="240" t="s">
        <v>279</v>
      </c>
      <c r="C20" s="380" t="s">
        <v>395</v>
      </c>
      <c r="D20" s="54">
        <v>1</v>
      </c>
      <c r="E20" s="3" t="s">
        <v>649</v>
      </c>
      <c r="F20" s="131"/>
      <c r="G20" s="157"/>
    </row>
    <row r="21" spans="1:7" ht="29.25" customHeight="1" x14ac:dyDescent="0.3">
      <c r="A21" s="69"/>
      <c r="B21" s="210"/>
      <c r="C21" s="380"/>
      <c r="D21" s="44">
        <v>2</v>
      </c>
      <c r="E21" s="7" t="s">
        <v>650</v>
      </c>
      <c r="F21" s="26" t="s">
        <v>535</v>
      </c>
      <c r="G21" s="132" t="str">
        <f>B31</f>
        <v>13.a.</v>
      </c>
    </row>
    <row r="22" spans="1:7" ht="13.5" customHeight="1" x14ac:dyDescent="0.3">
      <c r="A22" s="54" t="s">
        <v>200</v>
      </c>
      <c r="B22" s="240" t="s">
        <v>280</v>
      </c>
      <c r="C22" s="380" t="s">
        <v>272</v>
      </c>
      <c r="D22" s="54">
        <v>1</v>
      </c>
      <c r="E22" s="257" t="s">
        <v>519</v>
      </c>
      <c r="F22" s="131"/>
      <c r="G22" s="157"/>
    </row>
    <row r="23" spans="1:7" x14ac:dyDescent="0.3">
      <c r="A23" s="69"/>
      <c r="B23" s="210"/>
      <c r="C23" s="380"/>
      <c r="D23" s="69">
        <f>D22+1</f>
        <v>2</v>
      </c>
      <c r="E23" s="89" t="s">
        <v>536</v>
      </c>
      <c r="F23" s="4"/>
      <c r="G23" s="101"/>
    </row>
    <row r="24" spans="1:7" x14ac:dyDescent="0.3">
      <c r="A24" s="235"/>
      <c r="B24" s="241"/>
      <c r="C24" s="380"/>
      <c r="D24" s="69">
        <f t="shared" ref="D24:D28" si="1">D23+1</f>
        <v>3</v>
      </c>
      <c r="E24" s="89" t="s">
        <v>537</v>
      </c>
      <c r="F24" s="4"/>
      <c r="G24" s="101"/>
    </row>
    <row r="25" spans="1:7" x14ac:dyDescent="0.3">
      <c r="A25" s="235"/>
      <c r="B25" s="241"/>
      <c r="C25" s="380"/>
      <c r="D25" s="69">
        <f t="shared" si="1"/>
        <v>4</v>
      </c>
      <c r="E25" s="89" t="s">
        <v>538</v>
      </c>
      <c r="F25" s="4"/>
      <c r="G25" s="101"/>
    </row>
    <row r="26" spans="1:7" x14ac:dyDescent="0.3">
      <c r="A26" s="235"/>
      <c r="B26" s="241"/>
      <c r="C26" s="380"/>
      <c r="D26" s="69">
        <f t="shared" si="1"/>
        <v>5</v>
      </c>
      <c r="E26" s="89" t="s">
        <v>539</v>
      </c>
      <c r="F26" s="4"/>
      <c r="G26" s="101"/>
    </row>
    <row r="27" spans="1:7" ht="13.5" customHeight="1" x14ac:dyDescent="0.3">
      <c r="A27" s="235"/>
      <c r="B27" s="241"/>
      <c r="C27" s="448"/>
      <c r="D27" s="69">
        <f t="shared" si="1"/>
        <v>6</v>
      </c>
      <c r="E27" s="89" t="s">
        <v>398</v>
      </c>
      <c r="F27" s="4"/>
      <c r="G27" s="101"/>
    </row>
    <row r="28" spans="1:7" ht="13.5" customHeight="1" x14ac:dyDescent="0.3">
      <c r="A28" s="235"/>
      <c r="B28" s="241"/>
      <c r="C28" s="448"/>
      <c r="D28" s="69">
        <f t="shared" si="1"/>
        <v>7</v>
      </c>
      <c r="E28" s="89" t="s">
        <v>397</v>
      </c>
      <c r="F28" s="4"/>
      <c r="G28" s="101"/>
    </row>
    <row r="29" spans="1:7" ht="11.25" customHeight="1" x14ac:dyDescent="0.3">
      <c r="A29" s="235"/>
      <c r="B29" s="241"/>
      <c r="C29" s="448"/>
      <c r="D29" s="45">
        <v>8</v>
      </c>
      <c r="E29" s="89" t="s">
        <v>425</v>
      </c>
      <c r="F29" s="4"/>
      <c r="G29" s="101"/>
    </row>
    <row r="30" spans="1:7" ht="16.5" customHeight="1" x14ac:dyDescent="0.3">
      <c r="A30" s="235"/>
      <c r="B30" s="241"/>
      <c r="C30" s="448"/>
      <c r="D30" s="48">
        <v>-96</v>
      </c>
      <c r="E30" s="11" t="s">
        <v>520</v>
      </c>
      <c r="F30" s="4"/>
      <c r="G30" s="101"/>
    </row>
    <row r="31" spans="1:7" ht="16.5" customHeight="1" x14ac:dyDescent="0.3">
      <c r="A31" s="54" t="s">
        <v>200</v>
      </c>
      <c r="B31" s="240" t="s">
        <v>507</v>
      </c>
      <c r="C31" s="380" t="s">
        <v>396</v>
      </c>
      <c r="D31" s="54">
        <v>1</v>
      </c>
      <c r="E31" s="3" t="s">
        <v>649</v>
      </c>
      <c r="F31" s="4"/>
      <c r="G31" s="101"/>
    </row>
    <row r="32" spans="1:7" ht="69.75" customHeight="1" x14ac:dyDescent="0.3">
      <c r="A32" s="237"/>
      <c r="B32" s="242"/>
      <c r="C32" s="380"/>
      <c r="D32" s="44">
        <v>2</v>
      </c>
      <c r="E32" s="7" t="s">
        <v>650</v>
      </c>
      <c r="F32" s="26" t="s">
        <v>535</v>
      </c>
      <c r="G32" s="132">
        <f>B42</f>
        <v>14</v>
      </c>
    </row>
    <row r="33" spans="1:7" ht="13.5" customHeight="1" x14ac:dyDescent="0.3">
      <c r="A33" s="54" t="s">
        <v>200</v>
      </c>
      <c r="B33" s="240" t="s">
        <v>509</v>
      </c>
      <c r="C33" s="380" t="s">
        <v>272</v>
      </c>
      <c r="D33" s="54">
        <v>1</v>
      </c>
      <c r="E33" s="257" t="s">
        <v>519</v>
      </c>
    </row>
    <row r="34" spans="1:7" x14ac:dyDescent="0.3">
      <c r="A34" s="235"/>
      <c r="B34" s="241"/>
      <c r="C34" s="380"/>
      <c r="D34" s="69">
        <f>D33+1</f>
        <v>2</v>
      </c>
      <c r="E34" s="89" t="s">
        <v>536</v>
      </c>
    </row>
    <row r="35" spans="1:7" x14ac:dyDescent="0.3">
      <c r="A35" s="235"/>
      <c r="B35" s="241"/>
      <c r="C35" s="380"/>
      <c r="D35" s="69">
        <f t="shared" ref="D35:D39" si="2">D34+1</f>
        <v>3</v>
      </c>
      <c r="E35" s="89" t="s">
        <v>537</v>
      </c>
    </row>
    <row r="36" spans="1:7" x14ac:dyDescent="0.3">
      <c r="A36" s="235"/>
      <c r="B36" s="241"/>
      <c r="C36" s="380"/>
      <c r="D36" s="69">
        <f t="shared" si="2"/>
        <v>4</v>
      </c>
      <c r="E36" s="89" t="s">
        <v>538</v>
      </c>
    </row>
    <row r="37" spans="1:7" x14ac:dyDescent="0.3">
      <c r="A37" s="235"/>
      <c r="B37" s="241"/>
      <c r="C37" s="380"/>
      <c r="D37" s="69">
        <f t="shared" si="2"/>
        <v>5</v>
      </c>
      <c r="E37" s="89" t="s">
        <v>539</v>
      </c>
    </row>
    <row r="38" spans="1:7" ht="13.5" customHeight="1" x14ac:dyDescent="0.3">
      <c r="A38" s="235"/>
      <c r="B38" s="241"/>
      <c r="C38" s="448"/>
      <c r="D38" s="69">
        <f t="shared" si="2"/>
        <v>6</v>
      </c>
      <c r="E38" s="89" t="s">
        <v>398</v>
      </c>
      <c r="F38" s="4"/>
      <c r="G38" s="101"/>
    </row>
    <row r="39" spans="1:7" ht="13.5" customHeight="1" x14ac:dyDescent="0.3">
      <c r="A39" s="235"/>
      <c r="B39" s="241"/>
      <c r="C39" s="448"/>
      <c r="D39" s="69">
        <f t="shared" si="2"/>
        <v>7</v>
      </c>
      <c r="E39" s="89" t="s">
        <v>397</v>
      </c>
      <c r="F39" s="4"/>
      <c r="G39" s="101"/>
    </row>
    <row r="40" spans="1:7" ht="14.25" customHeight="1" x14ac:dyDescent="0.3">
      <c r="A40" s="235"/>
      <c r="B40" s="241"/>
      <c r="C40" s="448"/>
      <c r="D40" s="45">
        <v>8</v>
      </c>
      <c r="E40" s="89" t="s">
        <v>425</v>
      </c>
      <c r="F40" s="4"/>
      <c r="G40" s="101"/>
    </row>
    <row r="41" spans="1:7" x14ac:dyDescent="0.3">
      <c r="A41" s="238"/>
      <c r="B41" s="243"/>
      <c r="C41" s="542"/>
      <c r="D41" s="48">
        <v>-96</v>
      </c>
      <c r="E41" s="11" t="s">
        <v>520</v>
      </c>
    </row>
    <row r="42" spans="1:7" ht="52" x14ac:dyDescent="0.3">
      <c r="A42" s="239" t="s">
        <v>200</v>
      </c>
      <c r="B42" s="244">
        <v>14</v>
      </c>
      <c r="C42" s="256" t="s">
        <v>49</v>
      </c>
      <c r="D42" s="528" t="s">
        <v>540</v>
      </c>
      <c r="E42" s="528"/>
    </row>
    <row r="43" spans="1:7" ht="39" x14ac:dyDescent="0.3">
      <c r="A43" s="239" t="s">
        <v>200</v>
      </c>
      <c r="B43" s="244">
        <f>B42+1</f>
        <v>15</v>
      </c>
      <c r="C43" s="256" t="s">
        <v>50</v>
      </c>
      <c r="D43" s="528" t="s">
        <v>540</v>
      </c>
      <c r="E43" s="528"/>
    </row>
    <row r="44" spans="1:7" ht="6.75" customHeight="1" x14ac:dyDescent="0.3">
      <c r="A44" s="216"/>
      <c r="B44" s="245"/>
      <c r="C44" s="219"/>
      <c r="D44" s="220"/>
      <c r="E44" s="220"/>
    </row>
    <row r="45" spans="1:7" ht="30" customHeight="1" x14ac:dyDescent="0.3">
      <c r="A45" s="524" t="s">
        <v>208</v>
      </c>
      <c r="B45" s="524"/>
      <c r="C45" s="524"/>
      <c r="D45" s="524"/>
      <c r="E45" s="524"/>
    </row>
    <row r="46" spans="1:7" ht="12.75" customHeight="1" x14ac:dyDescent="0.3">
      <c r="A46" s="247" t="s">
        <v>200</v>
      </c>
      <c r="B46" s="240" t="s">
        <v>100</v>
      </c>
      <c r="C46" s="371" t="s">
        <v>38</v>
      </c>
      <c r="D46" s="54">
        <v>1</v>
      </c>
      <c r="E46" s="3" t="s">
        <v>649</v>
      </c>
    </row>
    <row r="47" spans="1:7" ht="30" customHeight="1" x14ac:dyDescent="0.3">
      <c r="A47" s="213"/>
      <c r="B47" s="211"/>
      <c r="C47" s="384"/>
      <c r="D47" s="44">
        <v>2</v>
      </c>
      <c r="E47" s="7" t="s">
        <v>650</v>
      </c>
      <c r="F47" s="4" t="s">
        <v>535</v>
      </c>
      <c r="G47" s="100" t="str">
        <f>B58</f>
        <v>17.a.</v>
      </c>
    </row>
    <row r="48" spans="1:7" ht="31.5" customHeight="1" x14ac:dyDescent="0.3">
      <c r="A48" s="248" t="s">
        <v>200</v>
      </c>
      <c r="B48" s="295" t="s">
        <v>101</v>
      </c>
      <c r="C48" s="5" t="s">
        <v>543</v>
      </c>
      <c r="D48" s="385" t="s">
        <v>576</v>
      </c>
      <c r="E48" s="386"/>
    </row>
    <row r="49" spans="1:7" x14ac:dyDescent="0.3">
      <c r="A49" s="249" t="s">
        <v>200</v>
      </c>
      <c r="B49" s="16" t="s">
        <v>102</v>
      </c>
      <c r="C49" s="521" t="s">
        <v>522</v>
      </c>
      <c r="D49" s="54">
        <v>1</v>
      </c>
      <c r="E49" s="257" t="s">
        <v>657</v>
      </c>
    </row>
    <row r="50" spans="1:7" x14ac:dyDescent="0.3">
      <c r="A50" s="231"/>
      <c r="B50" s="11"/>
      <c r="C50" s="521"/>
      <c r="D50" s="69">
        <f>D49+1</f>
        <v>2</v>
      </c>
      <c r="E50" s="89" t="s">
        <v>658</v>
      </c>
    </row>
    <row r="51" spans="1:7" x14ac:dyDescent="0.3">
      <c r="A51" s="231"/>
      <c r="B51" s="11"/>
      <c r="C51" s="521"/>
      <c r="D51" s="69">
        <f t="shared" ref="D51:D56" si="3">D50+1</f>
        <v>3</v>
      </c>
      <c r="E51" s="89" t="s">
        <v>311</v>
      </c>
    </row>
    <row r="52" spans="1:7" x14ac:dyDescent="0.3">
      <c r="A52" s="231"/>
      <c r="B52" s="11"/>
      <c r="C52" s="521"/>
      <c r="D52" s="69">
        <f t="shared" si="3"/>
        <v>4</v>
      </c>
      <c r="E52" s="89" t="s">
        <v>659</v>
      </c>
    </row>
    <row r="53" spans="1:7" x14ac:dyDescent="0.3">
      <c r="A53" s="231"/>
      <c r="B53" s="11"/>
      <c r="C53" s="521"/>
      <c r="D53" s="69">
        <f t="shared" si="3"/>
        <v>5</v>
      </c>
      <c r="E53" s="89" t="s">
        <v>544</v>
      </c>
    </row>
    <row r="54" spans="1:7" x14ac:dyDescent="0.3">
      <c r="A54" s="231"/>
      <c r="B54" s="11"/>
      <c r="C54" s="521"/>
      <c r="D54" s="69">
        <f t="shared" si="3"/>
        <v>6</v>
      </c>
      <c r="E54" s="89" t="s">
        <v>545</v>
      </c>
    </row>
    <row r="55" spans="1:7" x14ac:dyDescent="0.3">
      <c r="A55" s="231"/>
      <c r="B55" s="11"/>
      <c r="C55" s="371"/>
      <c r="D55" s="69">
        <f t="shared" si="3"/>
        <v>7</v>
      </c>
      <c r="E55" s="89" t="s">
        <v>546</v>
      </c>
    </row>
    <row r="56" spans="1:7" x14ac:dyDescent="0.3">
      <c r="A56" s="231"/>
      <c r="B56" s="11"/>
      <c r="C56" s="165"/>
      <c r="D56" s="69">
        <f t="shared" si="3"/>
        <v>8</v>
      </c>
      <c r="E56" s="89" t="s">
        <v>521</v>
      </c>
    </row>
    <row r="57" spans="1:7" x14ac:dyDescent="0.3">
      <c r="A57" s="232"/>
      <c r="B57" s="12"/>
      <c r="C57" s="163"/>
      <c r="D57" s="44">
        <v>9</v>
      </c>
      <c r="E57" s="90" t="s">
        <v>273</v>
      </c>
    </row>
    <row r="58" spans="1:7" ht="12.75" customHeight="1" x14ac:dyDescent="0.3">
      <c r="A58" s="247" t="s">
        <v>200</v>
      </c>
      <c r="B58" s="240" t="s">
        <v>259</v>
      </c>
      <c r="C58" s="371" t="s">
        <v>577</v>
      </c>
      <c r="D58" s="54">
        <v>1</v>
      </c>
      <c r="E58" s="3" t="s">
        <v>649</v>
      </c>
    </row>
    <row r="59" spans="1:7" ht="19.5" customHeight="1" x14ac:dyDescent="0.3">
      <c r="A59" s="213"/>
      <c r="B59" s="211"/>
      <c r="C59" s="384"/>
      <c r="D59" s="44">
        <v>2</v>
      </c>
      <c r="E59" s="7" t="s">
        <v>650</v>
      </c>
      <c r="F59" s="26" t="s">
        <v>535</v>
      </c>
      <c r="G59" s="132" t="str">
        <f>B70</f>
        <v>18.a.</v>
      </c>
    </row>
    <row r="60" spans="1:7" ht="31.5" customHeight="1" x14ac:dyDescent="0.3">
      <c r="A60" s="248" t="s">
        <v>200</v>
      </c>
      <c r="B60" s="295" t="s">
        <v>260</v>
      </c>
      <c r="C60" s="5" t="s">
        <v>182</v>
      </c>
      <c r="D60" s="385" t="s">
        <v>576</v>
      </c>
      <c r="E60" s="386"/>
    </row>
    <row r="61" spans="1:7" ht="12.75" customHeight="1" x14ac:dyDescent="0.3">
      <c r="A61" s="249" t="s">
        <v>200</v>
      </c>
      <c r="B61" s="16" t="s">
        <v>261</v>
      </c>
      <c r="C61" s="371" t="s">
        <v>523</v>
      </c>
      <c r="D61" s="54">
        <v>1</v>
      </c>
      <c r="E61" s="257" t="s">
        <v>657</v>
      </c>
    </row>
    <row r="62" spans="1:7" x14ac:dyDescent="0.3">
      <c r="A62" s="231"/>
      <c r="B62" s="11"/>
      <c r="C62" s="372"/>
      <c r="D62" s="69">
        <f>D61+1</f>
        <v>2</v>
      </c>
      <c r="E62" s="89" t="s">
        <v>658</v>
      </c>
    </row>
    <row r="63" spans="1:7" x14ac:dyDescent="0.3">
      <c r="A63" s="231"/>
      <c r="B63" s="11"/>
      <c r="C63" s="372"/>
      <c r="D63" s="69">
        <f t="shared" ref="D63:D68" si="4">D62+1</f>
        <v>3</v>
      </c>
      <c r="E63" s="89" t="s">
        <v>311</v>
      </c>
    </row>
    <row r="64" spans="1:7" x14ac:dyDescent="0.3">
      <c r="A64" s="231"/>
      <c r="B64" s="11"/>
      <c r="C64" s="372"/>
      <c r="D64" s="69">
        <f t="shared" si="4"/>
        <v>4</v>
      </c>
      <c r="E64" s="89" t="s">
        <v>659</v>
      </c>
    </row>
    <row r="65" spans="1:7" x14ac:dyDescent="0.3">
      <c r="A65" s="231"/>
      <c r="B65" s="11"/>
      <c r="C65" s="372"/>
      <c r="D65" s="69">
        <f t="shared" si="4"/>
        <v>5</v>
      </c>
      <c r="E65" s="89" t="s">
        <v>544</v>
      </c>
    </row>
    <row r="66" spans="1:7" x14ac:dyDescent="0.3">
      <c r="A66" s="231"/>
      <c r="B66" s="11"/>
      <c r="C66" s="372"/>
      <c r="D66" s="69">
        <f t="shared" si="4"/>
        <v>6</v>
      </c>
      <c r="E66" s="89" t="s">
        <v>545</v>
      </c>
    </row>
    <row r="67" spans="1:7" x14ac:dyDescent="0.3">
      <c r="A67" s="231"/>
      <c r="B67" s="11"/>
      <c r="C67" s="372"/>
      <c r="D67" s="69">
        <f t="shared" si="4"/>
        <v>7</v>
      </c>
      <c r="E67" s="89" t="s">
        <v>546</v>
      </c>
    </row>
    <row r="68" spans="1:7" x14ac:dyDescent="0.3">
      <c r="A68" s="231"/>
      <c r="B68" s="11"/>
      <c r="C68" s="372"/>
      <c r="D68" s="69">
        <f t="shared" si="4"/>
        <v>8</v>
      </c>
      <c r="E68" s="89" t="s">
        <v>521</v>
      </c>
    </row>
    <row r="69" spans="1:7" ht="15" customHeight="1" x14ac:dyDescent="0.3">
      <c r="A69" s="232"/>
      <c r="B69" s="12"/>
      <c r="C69" s="163"/>
      <c r="D69" s="44">
        <v>9</v>
      </c>
      <c r="E69" s="7" t="s">
        <v>273</v>
      </c>
    </row>
    <row r="70" spans="1:7" ht="12.75" customHeight="1" x14ac:dyDescent="0.3">
      <c r="A70" s="247" t="s">
        <v>200</v>
      </c>
      <c r="B70" s="240" t="s">
        <v>262</v>
      </c>
      <c r="C70" s="371" t="s">
        <v>51</v>
      </c>
      <c r="D70" s="54">
        <v>1</v>
      </c>
      <c r="E70" s="3" t="s">
        <v>649</v>
      </c>
    </row>
    <row r="71" spans="1:7" ht="15.75" customHeight="1" x14ac:dyDescent="0.3">
      <c r="A71" s="213"/>
      <c r="B71" s="211"/>
      <c r="C71" s="384"/>
      <c r="D71" s="44">
        <v>2</v>
      </c>
      <c r="E71" s="7" t="s">
        <v>650</v>
      </c>
      <c r="F71" s="26" t="s">
        <v>535</v>
      </c>
      <c r="G71" s="132" t="str">
        <f>B81</f>
        <v>19.a.</v>
      </c>
    </row>
    <row r="72" spans="1:7" ht="31.5" customHeight="1" x14ac:dyDescent="0.3">
      <c r="A72" s="248" t="s">
        <v>200</v>
      </c>
      <c r="B72" s="295" t="s">
        <v>263</v>
      </c>
      <c r="C72" s="5" t="s">
        <v>181</v>
      </c>
      <c r="D72" s="385" t="s">
        <v>576</v>
      </c>
      <c r="E72" s="386"/>
    </row>
    <row r="73" spans="1:7" ht="12.75" customHeight="1" x14ac:dyDescent="0.3">
      <c r="A73" s="249" t="s">
        <v>200</v>
      </c>
      <c r="B73" s="16" t="s">
        <v>264</v>
      </c>
      <c r="C73" s="521" t="s">
        <v>524</v>
      </c>
      <c r="D73" s="54">
        <v>1</v>
      </c>
      <c r="E73" s="257" t="s">
        <v>657</v>
      </c>
    </row>
    <row r="74" spans="1:7" x14ac:dyDescent="0.3">
      <c r="A74" s="231"/>
      <c r="B74" s="11"/>
      <c r="C74" s="521"/>
      <c r="D74" s="69">
        <f>D73+1</f>
        <v>2</v>
      </c>
      <c r="E74" s="89" t="s">
        <v>658</v>
      </c>
    </row>
    <row r="75" spans="1:7" x14ac:dyDescent="0.3">
      <c r="A75" s="231"/>
      <c r="B75" s="11"/>
      <c r="C75" s="521"/>
      <c r="D75" s="69">
        <f t="shared" ref="D75:D80" si="5">D74+1</f>
        <v>3</v>
      </c>
      <c r="E75" s="89" t="s">
        <v>311</v>
      </c>
    </row>
    <row r="76" spans="1:7" x14ac:dyDescent="0.3">
      <c r="A76" s="231"/>
      <c r="B76" s="11"/>
      <c r="C76" s="521"/>
      <c r="D76" s="69">
        <f t="shared" si="5"/>
        <v>4</v>
      </c>
      <c r="E76" s="89" t="s">
        <v>659</v>
      </c>
    </row>
    <row r="77" spans="1:7" x14ac:dyDescent="0.3">
      <c r="A77" s="231"/>
      <c r="B77" s="11"/>
      <c r="C77" s="521"/>
      <c r="D77" s="69">
        <f t="shared" si="5"/>
        <v>5</v>
      </c>
      <c r="E77" s="89" t="s">
        <v>544</v>
      </c>
    </row>
    <row r="78" spans="1:7" x14ac:dyDescent="0.3">
      <c r="A78" s="231"/>
      <c r="B78" s="11"/>
      <c r="C78" s="521"/>
      <c r="D78" s="69">
        <f t="shared" si="5"/>
        <v>6</v>
      </c>
      <c r="E78" s="89" t="s">
        <v>545</v>
      </c>
    </row>
    <row r="79" spans="1:7" x14ac:dyDescent="0.3">
      <c r="A79" s="231"/>
      <c r="B79" s="11"/>
      <c r="C79" s="521"/>
      <c r="D79" s="69">
        <f t="shared" si="5"/>
        <v>7</v>
      </c>
      <c r="E79" s="89" t="s">
        <v>546</v>
      </c>
    </row>
    <row r="80" spans="1:7" x14ac:dyDescent="0.3">
      <c r="A80" s="232"/>
      <c r="B80" s="12"/>
      <c r="C80" s="371"/>
      <c r="D80" s="44">
        <f t="shared" si="5"/>
        <v>8</v>
      </c>
      <c r="E80" s="90" t="s">
        <v>521</v>
      </c>
    </row>
    <row r="81" spans="1:7" ht="130.5" x14ac:dyDescent="0.3">
      <c r="A81" s="246" t="s">
        <v>200</v>
      </c>
      <c r="B81" s="250" t="s">
        <v>265</v>
      </c>
      <c r="C81" s="178" t="s">
        <v>253</v>
      </c>
      <c r="D81" s="534" t="s">
        <v>310</v>
      </c>
      <c r="E81" s="535"/>
      <c r="F81" s="288" t="s">
        <v>416</v>
      </c>
      <c r="G81" s="303">
        <f>B110</f>
        <v>20</v>
      </c>
    </row>
    <row r="82" spans="1:7" ht="13.5" customHeight="1" x14ac:dyDescent="0.3">
      <c r="A82" s="247" t="s">
        <v>200</v>
      </c>
      <c r="B82" s="240" t="s">
        <v>266</v>
      </c>
      <c r="C82" s="371" t="s">
        <v>525</v>
      </c>
      <c r="D82" s="54">
        <v>1</v>
      </c>
      <c r="E82" s="257" t="s">
        <v>657</v>
      </c>
    </row>
    <row r="83" spans="1:7" x14ac:dyDescent="0.3">
      <c r="A83" s="251"/>
      <c r="B83" s="241"/>
      <c r="C83" s="372"/>
      <c r="D83" s="69">
        <f>D82+1</f>
        <v>2</v>
      </c>
      <c r="E83" s="89" t="s">
        <v>658</v>
      </c>
    </row>
    <row r="84" spans="1:7" x14ac:dyDescent="0.3">
      <c r="A84" s="251"/>
      <c r="B84" s="241"/>
      <c r="C84" s="372"/>
      <c r="D84" s="69">
        <f t="shared" ref="D84:D89" si="6">D83+1</f>
        <v>3</v>
      </c>
      <c r="E84" s="89" t="s">
        <v>311</v>
      </c>
    </row>
    <row r="85" spans="1:7" x14ac:dyDescent="0.3">
      <c r="A85" s="251"/>
      <c r="B85" s="241"/>
      <c r="C85" s="372"/>
      <c r="D85" s="69">
        <f t="shared" si="6"/>
        <v>4</v>
      </c>
      <c r="E85" s="89" t="s">
        <v>659</v>
      </c>
    </row>
    <row r="86" spans="1:7" x14ac:dyDescent="0.3">
      <c r="A86" s="251"/>
      <c r="B86" s="241"/>
      <c r="C86" s="372"/>
      <c r="D86" s="69">
        <f t="shared" si="6"/>
        <v>5</v>
      </c>
      <c r="E86" s="89" t="s">
        <v>544</v>
      </c>
    </row>
    <row r="87" spans="1:7" x14ac:dyDescent="0.3">
      <c r="A87" s="251"/>
      <c r="B87" s="241"/>
      <c r="C87" s="372"/>
      <c r="D87" s="69">
        <f t="shared" si="6"/>
        <v>6</v>
      </c>
      <c r="E87" s="89" t="s">
        <v>545</v>
      </c>
    </row>
    <row r="88" spans="1:7" x14ac:dyDescent="0.3">
      <c r="A88" s="251"/>
      <c r="B88" s="241"/>
      <c r="C88" s="372"/>
      <c r="D88" s="69">
        <f t="shared" si="6"/>
        <v>7</v>
      </c>
      <c r="E88" s="89" t="s">
        <v>546</v>
      </c>
    </row>
    <row r="89" spans="1:7" x14ac:dyDescent="0.3">
      <c r="A89" s="296"/>
      <c r="B89" s="242"/>
      <c r="C89" s="384"/>
      <c r="D89" s="44">
        <f t="shared" si="6"/>
        <v>8</v>
      </c>
      <c r="E89" s="90" t="s">
        <v>521</v>
      </c>
    </row>
    <row r="90" spans="1:7" s="354" customFormat="1" ht="12.75" customHeight="1" x14ac:dyDescent="0.3">
      <c r="A90" s="352" t="s">
        <v>200</v>
      </c>
      <c r="B90" s="353">
        <v>23</v>
      </c>
      <c r="C90" s="522" t="s">
        <v>12</v>
      </c>
      <c r="D90" s="54">
        <v>1</v>
      </c>
      <c r="E90" s="3" t="s">
        <v>649</v>
      </c>
      <c r="F90" s="33"/>
      <c r="G90" s="33"/>
    </row>
    <row r="91" spans="1:7" s="354" customFormat="1" ht="12.75" customHeight="1" x14ac:dyDescent="0.3">
      <c r="A91" s="355"/>
      <c r="B91" s="356"/>
      <c r="C91" s="523"/>
      <c r="D91" s="69">
        <v>2</v>
      </c>
      <c r="E91" s="6" t="s">
        <v>650</v>
      </c>
      <c r="F91" s="26"/>
      <c r="G91" s="33"/>
    </row>
    <row r="92" spans="1:7" s="354" customFormat="1" ht="12.75" customHeight="1" x14ac:dyDescent="0.3">
      <c r="A92" s="355"/>
      <c r="B92" s="356"/>
      <c r="C92" s="523"/>
      <c r="D92" s="69">
        <v>-88</v>
      </c>
      <c r="E92" s="6" t="s">
        <v>590</v>
      </c>
      <c r="F92" s="33"/>
      <c r="G92" s="33"/>
    </row>
    <row r="93" spans="1:7" s="354" customFormat="1" ht="12.75" customHeight="1" x14ac:dyDescent="0.3">
      <c r="A93" s="357"/>
      <c r="B93" s="358"/>
      <c r="C93" s="359"/>
      <c r="D93" s="44">
        <v>-99</v>
      </c>
      <c r="E93" s="7" t="s">
        <v>589</v>
      </c>
      <c r="F93" s="33"/>
      <c r="G93" s="33"/>
    </row>
    <row r="94" spans="1:7" s="354" customFormat="1" ht="12.75" customHeight="1" x14ac:dyDescent="0.3">
      <c r="A94" s="352" t="s">
        <v>200</v>
      </c>
      <c r="B94" s="353">
        <v>24</v>
      </c>
      <c r="C94" s="522" t="s">
        <v>13</v>
      </c>
      <c r="D94" s="360">
        <v>1</v>
      </c>
      <c r="E94" s="3" t="s">
        <v>14</v>
      </c>
      <c r="F94" s="33"/>
      <c r="G94" s="33"/>
    </row>
    <row r="95" spans="1:7" s="354" customFormat="1" ht="13" x14ac:dyDescent="0.3">
      <c r="A95" s="355"/>
      <c r="B95" s="356"/>
      <c r="C95" s="523"/>
      <c r="D95" s="361">
        <f>D94+1</f>
        <v>2</v>
      </c>
      <c r="E95" s="6" t="s">
        <v>15</v>
      </c>
      <c r="F95" s="33"/>
      <c r="G95" s="33"/>
    </row>
    <row r="96" spans="1:7" s="354" customFormat="1" ht="13" x14ac:dyDescent="0.3">
      <c r="A96" s="355"/>
      <c r="B96" s="356"/>
      <c r="C96" s="362"/>
      <c r="D96" s="361">
        <f t="shared" ref="D96:D106" si="7">D95+1</f>
        <v>3</v>
      </c>
      <c r="E96" s="6" t="s">
        <v>16</v>
      </c>
      <c r="F96" s="33"/>
      <c r="G96" s="33"/>
    </row>
    <row r="97" spans="1:8" s="354" customFormat="1" ht="13" x14ac:dyDescent="0.3">
      <c r="A97" s="355"/>
      <c r="B97" s="356"/>
      <c r="C97" s="362"/>
      <c r="D97" s="361">
        <f t="shared" si="7"/>
        <v>4</v>
      </c>
      <c r="E97" s="6" t="s">
        <v>17</v>
      </c>
      <c r="F97" s="33"/>
      <c r="G97" s="33"/>
    </row>
    <row r="98" spans="1:8" s="354" customFormat="1" ht="13" x14ac:dyDescent="0.3">
      <c r="A98" s="355"/>
      <c r="B98" s="356"/>
      <c r="C98" s="362"/>
      <c r="D98" s="361">
        <f t="shared" si="7"/>
        <v>5</v>
      </c>
      <c r="E98" s="6" t="s">
        <v>1</v>
      </c>
      <c r="F98" s="33"/>
      <c r="G98" s="33"/>
    </row>
    <row r="99" spans="1:8" s="354" customFormat="1" ht="12.75" customHeight="1" x14ac:dyDescent="0.3">
      <c r="A99" s="355"/>
      <c r="B99" s="356"/>
      <c r="C99" s="362"/>
      <c r="D99" s="361">
        <f t="shared" si="7"/>
        <v>6</v>
      </c>
      <c r="E99" s="6" t="s">
        <v>2</v>
      </c>
      <c r="F99" s="33"/>
      <c r="G99" s="33"/>
    </row>
    <row r="100" spans="1:8" s="354" customFormat="1" ht="13" x14ac:dyDescent="0.3">
      <c r="A100" s="355"/>
      <c r="B100" s="356"/>
      <c r="C100" s="362"/>
      <c r="D100" s="361">
        <f t="shared" si="7"/>
        <v>7</v>
      </c>
      <c r="E100" s="6" t="s">
        <v>18</v>
      </c>
      <c r="F100" s="33"/>
      <c r="G100" s="33"/>
    </row>
    <row r="101" spans="1:8" s="354" customFormat="1" ht="12.75" customHeight="1" x14ac:dyDescent="0.3">
      <c r="A101" s="355"/>
      <c r="B101" s="356"/>
      <c r="C101" s="362"/>
      <c r="D101" s="361">
        <f t="shared" si="7"/>
        <v>8</v>
      </c>
      <c r="E101" s="6" t="s">
        <v>19</v>
      </c>
      <c r="F101" s="33"/>
      <c r="G101" s="33"/>
    </row>
    <row r="102" spans="1:8" s="354" customFormat="1" ht="12.75" customHeight="1" x14ac:dyDescent="0.3">
      <c r="A102" s="355"/>
      <c r="B102" s="356"/>
      <c r="C102" s="362"/>
      <c r="D102" s="361">
        <f t="shared" si="7"/>
        <v>9</v>
      </c>
      <c r="E102" s="6" t="s">
        <v>20</v>
      </c>
      <c r="F102" s="33"/>
      <c r="G102" s="33"/>
    </row>
    <row r="103" spans="1:8" s="354" customFormat="1" ht="13" x14ac:dyDescent="0.3">
      <c r="A103" s="355"/>
      <c r="B103" s="356"/>
      <c r="C103" s="362"/>
      <c r="D103" s="361">
        <f t="shared" si="7"/>
        <v>10</v>
      </c>
      <c r="E103" s="6" t="s">
        <v>21</v>
      </c>
      <c r="F103" s="33"/>
      <c r="G103" s="33"/>
    </row>
    <row r="104" spans="1:8" s="354" customFormat="1" ht="13" x14ac:dyDescent="0.3">
      <c r="A104" s="355"/>
      <c r="B104" s="356"/>
      <c r="C104" s="362"/>
      <c r="D104" s="361">
        <f t="shared" si="7"/>
        <v>11</v>
      </c>
      <c r="E104" s="6" t="s">
        <v>22</v>
      </c>
      <c r="F104" s="33"/>
      <c r="G104" s="33"/>
    </row>
    <row r="105" spans="1:8" s="354" customFormat="1" ht="13" x14ac:dyDescent="0.3">
      <c r="A105" s="355"/>
      <c r="B105" s="356"/>
      <c r="C105" s="362"/>
      <c r="D105" s="361">
        <f t="shared" si="7"/>
        <v>12</v>
      </c>
      <c r="E105" s="6" t="s">
        <v>23</v>
      </c>
      <c r="F105" s="33"/>
      <c r="G105" s="33"/>
    </row>
    <row r="106" spans="1:8" s="354" customFormat="1" ht="26" x14ac:dyDescent="0.3">
      <c r="A106" s="355"/>
      <c r="B106" s="356"/>
      <c r="C106" s="362"/>
      <c r="D106" s="361">
        <f t="shared" si="7"/>
        <v>13</v>
      </c>
      <c r="E106" s="6" t="s">
        <v>24</v>
      </c>
      <c r="F106" s="33"/>
      <c r="G106" s="33"/>
    </row>
    <row r="107" spans="1:8" s="354" customFormat="1" ht="12.75" customHeight="1" x14ac:dyDescent="0.3">
      <c r="A107" s="355"/>
      <c r="B107" s="356"/>
      <c r="C107" s="362"/>
      <c r="D107" s="361">
        <v>-96</v>
      </c>
      <c r="E107" s="6" t="s">
        <v>25</v>
      </c>
      <c r="F107" s="33"/>
      <c r="G107" s="33"/>
      <c r="H107" s="221"/>
    </row>
    <row r="108" spans="1:8" s="354" customFormat="1" ht="12.75" customHeight="1" x14ac:dyDescent="0.3">
      <c r="A108" s="355"/>
      <c r="B108" s="356"/>
      <c r="C108" s="362"/>
      <c r="D108" s="361">
        <v>-98</v>
      </c>
      <c r="E108" s="6" t="s">
        <v>590</v>
      </c>
      <c r="H108" s="33"/>
    </row>
    <row r="109" spans="1:8" s="354" customFormat="1" ht="13" x14ac:dyDescent="0.3">
      <c r="A109" s="357"/>
      <c r="B109" s="358"/>
      <c r="C109" s="359"/>
      <c r="D109" s="363">
        <v>-99</v>
      </c>
      <c r="E109" s="7" t="s">
        <v>589</v>
      </c>
      <c r="H109" s="364"/>
    </row>
    <row r="110" spans="1:8" ht="54.75" customHeight="1" x14ac:dyDescent="0.3">
      <c r="A110" s="326" t="s">
        <v>200</v>
      </c>
      <c r="B110" s="327">
        <v>20</v>
      </c>
      <c r="C110" s="5" t="s">
        <v>206</v>
      </c>
      <c r="D110" s="385" t="s">
        <v>65</v>
      </c>
      <c r="E110" s="386"/>
      <c r="F110" s="328"/>
      <c r="G110" s="329"/>
    </row>
    <row r="111" spans="1:8" ht="12.75" customHeight="1" x14ac:dyDescent="0.3">
      <c r="A111" s="54" t="s">
        <v>200</v>
      </c>
      <c r="B111" s="240">
        <f>B110+1</f>
        <v>21</v>
      </c>
      <c r="C111" s="380" t="s">
        <v>52</v>
      </c>
      <c r="D111" s="54">
        <v>1</v>
      </c>
      <c r="E111" s="3" t="s">
        <v>649</v>
      </c>
      <c r="F111" s="72"/>
      <c r="G111" s="156"/>
    </row>
    <row r="112" spans="1:8" x14ac:dyDescent="0.3">
      <c r="A112" s="235"/>
      <c r="B112" s="241"/>
      <c r="C112" s="380"/>
      <c r="D112" s="44">
        <v>2</v>
      </c>
      <c r="E112" s="7" t="s">
        <v>650</v>
      </c>
      <c r="F112" s="26" t="s">
        <v>535</v>
      </c>
      <c r="G112" s="132" t="s">
        <v>232</v>
      </c>
    </row>
    <row r="113" spans="1:7" ht="36" customHeight="1" x14ac:dyDescent="0.3">
      <c r="A113" s="236" t="s">
        <v>200</v>
      </c>
      <c r="B113" s="191">
        <f>B111+1</f>
        <v>22</v>
      </c>
      <c r="C113" s="40" t="s">
        <v>231</v>
      </c>
      <c r="D113" s="385" t="s">
        <v>576</v>
      </c>
      <c r="E113" s="386"/>
      <c r="F113" s="131"/>
      <c r="G113" s="157"/>
    </row>
  </sheetData>
  <mergeCells count="41">
    <mergeCell ref="D11:E11"/>
    <mergeCell ref="D110:E110"/>
    <mergeCell ref="A6:B6"/>
    <mergeCell ref="F6:G6"/>
    <mergeCell ref="A4:G4"/>
    <mergeCell ref="A7:C7"/>
    <mergeCell ref="D81:E81"/>
    <mergeCell ref="D72:E72"/>
    <mergeCell ref="D8:E8"/>
    <mergeCell ref="C73:C80"/>
    <mergeCell ref="D60:E60"/>
    <mergeCell ref="D12:E12"/>
    <mergeCell ref="F8:G9"/>
    <mergeCell ref="D16:E16"/>
    <mergeCell ref="C82:C89"/>
    <mergeCell ref="C33:C41"/>
    <mergeCell ref="A45:E45"/>
    <mergeCell ref="C2:E2"/>
    <mergeCell ref="D48:E48"/>
    <mergeCell ref="C17:C18"/>
    <mergeCell ref="C20:C21"/>
    <mergeCell ref="C22:C30"/>
    <mergeCell ref="C31:C32"/>
    <mergeCell ref="D19:E19"/>
    <mergeCell ref="D6:E6"/>
    <mergeCell ref="D9:E9"/>
    <mergeCell ref="D13:E13"/>
    <mergeCell ref="D14:E14"/>
    <mergeCell ref="D15:E15"/>
    <mergeCell ref="D42:E42"/>
    <mergeCell ref="D43:E43"/>
    <mergeCell ref="D10:E10"/>
    <mergeCell ref="C111:C112"/>
    <mergeCell ref="D113:E113"/>
    <mergeCell ref="C58:C59"/>
    <mergeCell ref="C61:C68"/>
    <mergeCell ref="C46:C47"/>
    <mergeCell ref="C70:C71"/>
    <mergeCell ref="C49:C55"/>
    <mergeCell ref="C90:C92"/>
    <mergeCell ref="C94:C95"/>
  </mergeCells>
  <phoneticPr fontId="2" type="noConversion"/>
  <pageMargins left="0.25" right="0.25" top="0.75" bottom="0.75" header="0.3" footer="0.3"/>
  <pageSetup scale="97" fitToHeight="0" orientation="portrait" r:id="rId1"/>
  <headerFooter>
    <oddHeader xml:space="preserve">&amp;C
</oddHeader>
  </headerFooter>
  <rowBreaks count="2" manualBreakCount="2">
    <brk id="32" max="16383" man="1"/>
    <brk id="69" max="16383" man="1"/>
  </rowBreaks>
  <extLst>
    <ext xmlns:mx="http://schemas.microsoft.com/office/mac/excel/2008/main" uri="http://schemas.microsoft.com/office/mac/excel/2008/main">
      <mx:PLV Mode="1"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3"/>
  <sheetViews>
    <sheetView view="pageLayout" topLeftCell="A19" workbookViewId="0">
      <selection activeCell="E36" sqref="E36"/>
    </sheetView>
  </sheetViews>
  <sheetFormatPr defaultColWidth="8.765625" defaultRowHeight="13.5" x14ac:dyDescent="0.3"/>
  <cols>
    <col min="1" max="1" width="1.765625" bestFit="1" customWidth="1"/>
    <col min="2" max="2" width="3.23046875" bestFit="1" customWidth="1"/>
    <col min="3" max="3" width="36.23046875" customWidth="1"/>
    <col min="4" max="4" width="4.61328125" customWidth="1"/>
    <col min="5" max="5" width="20.84375" customWidth="1"/>
    <col min="6" max="6" width="2.765625" customWidth="1"/>
  </cols>
  <sheetData>
    <row r="1" spans="1:7" ht="12.75" customHeight="1" x14ac:dyDescent="0.3">
      <c r="B1" s="391" t="s">
        <v>201</v>
      </c>
      <c r="C1" s="486"/>
      <c r="D1" s="486"/>
      <c r="E1" s="486"/>
      <c r="F1" s="486"/>
      <c r="G1" s="486"/>
    </row>
    <row r="2" spans="1:7" x14ac:dyDescent="0.3">
      <c r="B2" s="26"/>
      <c r="C2" s="26"/>
      <c r="D2" s="26"/>
      <c r="E2" s="26"/>
      <c r="F2" s="26"/>
      <c r="G2" s="26"/>
    </row>
    <row r="3" spans="1:7" ht="61.5" customHeight="1" x14ac:dyDescent="0.3">
      <c r="A3" s="545" t="s">
        <v>207</v>
      </c>
      <c r="B3" s="545"/>
      <c r="C3" s="545"/>
      <c r="D3" s="545"/>
      <c r="E3" s="545"/>
      <c r="F3" s="26"/>
      <c r="G3" s="26"/>
    </row>
    <row r="4" spans="1:7" ht="13.5" customHeight="1" x14ac:dyDescent="0.3">
      <c r="A4" s="216"/>
      <c r="B4" s="8"/>
      <c r="C4" s="215"/>
      <c r="D4" s="215"/>
      <c r="E4" s="215"/>
      <c r="F4" s="26"/>
      <c r="G4" s="26"/>
    </row>
    <row r="5" spans="1:7" ht="12.75" customHeight="1" x14ac:dyDescent="0.3">
      <c r="A5" s="230" t="s">
        <v>202</v>
      </c>
      <c r="B5" s="183" t="s">
        <v>459</v>
      </c>
      <c r="C5" s="543" t="s">
        <v>484</v>
      </c>
      <c r="D5" s="54">
        <v>1</v>
      </c>
      <c r="E5" s="3" t="s">
        <v>649</v>
      </c>
      <c r="F5" s="26"/>
      <c r="G5" s="26"/>
    </row>
    <row r="6" spans="1:7" x14ac:dyDescent="0.3">
      <c r="A6" s="212"/>
      <c r="B6" s="210"/>
      <c r="C6" s="544"/>
      <c r="D6" s="69">
        <v>2</v>
      </c>
      <c r="E6" s="6" t="s">
        <v>650</v>
      </c>
      <c r="F6" s="4" t="s">
        <v>535</v>
      </c>
      <c r="G6" s="100" t="str">
        <f>B14</f>
        <v>2.a.</v>
      </c>
    </row>
    <row r="7" spans="1:7" x14ac:dyDescent="0.3">
      <c r="A7" s="212"/>
      <c r="B7" s="210"/>
      <c r="C7" s="544"/>
      <c r="D7" s="69">
        <v>-98</v>
      </c>
      <c r="E7" s="6" t="s">
        <v>590</v>
      </c>
      <c r="F7" s="4" t="s">
        <v>535</v>
      </c>
      <c r="G7" s="100" t="str">
        <f>B14</f>
        <v>2.a.</v>
      </c>
    </row>
    <row r="8" spans="1:7" x14ac:dyDescent="0.3">
      <c r="A8" s="213"/>
      <c r="B8" s="211"/>
      <c r="C8" s="140"/>
      <c r="D8" s="44">
        <v>-99</v>
      </c>
      <c r="E8" s="7" t="s">
        <v>589</v>
      </c>
      <c r="F8" s="4" t="s">
        <v>535</v>
      </c>
      <c r="G8" s="100" t="str">
        <f>B14</f>
        <v>2.a.</v>
      </c>
    </row>
    <row r="9" spans="1:7" x14ac:dyDescent="0.3">
      <c r="A9" s="230" t="s">
        <v>202</v>
      </c>
      <c r="B9" s="183" t="s">
        <v>460</v>
      </c>
      <c r="C9" s="139" t="s">
        <v>489</v>
      </c>
      <c r="D9" s="54">
        <v>1</v>
      </c>
      <c r="E9" s="3" t="s">
        <v>490</v>
      </c>
      <c r="F9" s="26"/>
      <c r="G9" s="26"/>
    </row>
    <row r="10" spans="1:7" x14ac:dyDescent="0.3">
      <c r="A10" s="231"/>
      <c r="B10" s="11"/>
      <c r="C10" s="164"/>
      <c r="D10" s="69">
        <f>D9+1</f>
        <v>2</v>
      </c>
      <c r="E10" s="6" t="s">
        <v>491</v>
      </c>
      <c r="F10" s="26"/>
      <c r="G10" s="26"/>
    </row>
    <row r="11" spans="1:7" x14ac:dyDescent="0.3">
      <c r="A11" s="231"/>
      <c r="B11" s="11"/>
      <c r="C11" s="26"/>
      <c r="D11" s="69">
        <f t="shared" ref="D11" si="0">D10+1</f>
        <v>3</v>
      </c>
      <c r="E11" s="6" t="s">
        <v>492</v>
      </c>
      <c r="F11" s="26"/>
      <c r="G11" s="26"/>
    </row>
    <row r="12" spans="1:7" x14ac:dyDescent="0.3">
      <c r="A12" s="231"/>
      <c r="B12" s="11"/>
      <c r="C12" s="26"/>
      <c r="D12" s="69">
        <v>-98</v>
      </c>
      <c r="E12" s="6" t="s">
        <v>590</v>
      </c>
      <c r="F12" s="4"/>
      <c r="G12" s="100"/>
    </row>
    <row r="13" spans="1:7" x14ac:dyDescent="0.3">
      <c r="A13" s="232"/>
      <c r="B13" s="12"/>
      <c r="C13" s="27"/>
      <c r="D13" s="44">
        <v>-99</v>
      </c>
      <c r="E13" s="7" t="s">
        <v>589</v>
      </c>
      <c r="F13" s="4"/>
      <c r="G13" s="100"/>
    </row>
    <row r="14" spans="1:7" ht="12.75" customHeight="1" x14ac:dyDescent="0.3">
      <c r="A14" s="230" t="s">
        <v>202</v>
      </c>
      <c r="B14" s="183" t="s">
        <v>461</v>
      </c>
      <c r="C14" s="543" t="s">
        <v>242</v>
      </c>
      <c r="D14" s="54">
        <v>1</v>
      </c>
      <c r="E14" s="3" t="s">
        <v>649</v>
      </c>
      <c r="F14" s="26"/>
      <c r="G14" s="26"/>
    </row>
    <row r="15" spans="1:7" x14ac:dyDescent="0.3">
      <c r="A15" s="212"/>
      <c r="B15" s="210"/>
      <c r="C15" s="544"/>
      <c r="D15" s="69">
        <v>2</v>
      </c>
      <c r="E15" s="6" t="s">
        <v>650</v>
      </c>
      <c r="F15" s="4" t="s">
        <v>535</v>
      </c>
      <c r="G15" s="100" t="str">
        <f>B23</f>
        <v>3.a.</v>
      </c>
    </row>
    <row r="16" spans="1:7" x14ac:dyDescent="0.3">
      <c r="A16" s="212"/>
      <c r="B16" s="210"/>
      <c r="C16" s="544"/>
      <c r="D16" s="69">
        <v>-98</v>
      </c>
      <c r="E16" s="6" t="s">
        <v>590</v>
      </c>
      <c r="F16" s="4" t="s">
        <v>535</v>
      </c>
      <c r="G16" s="100" t="str">
        <f>B23</f>
        <v>3.a.</v>
      </c>
    </row>
    <row r="17" spans="1:7" x14ac:dyDescent="0.3">
      <c r="A17" s="213"/>
      <c r="B17" s="211"/>
      <c r="C17" s="546"/>
      <c r="D17" s="44">
        <v>-99</v>
      </c>
      <c r="E17" s="7" t="s">
        <v>589</v>
      </c>
      <c r="F17" s="4" t="s">
        <v>535</v>
      </c>
      <c r="G17" s="100" t="str">
        <f>B23</f>
        <v>3.a.</v>
      </c>
    </row>
    <row r="18" spans="1:7" x14ac:dyDescent="0.3">
      <c r="A18" s="230" t="s">
        <v>202</v>
      </c>
      <c r="B18" s="183" t="s">
        <v>516</v>
      </c>
      <c r="C18" s="139" t="s">
        <v>489</v>
      </c>
      <c r="D18" s="54">
        <v>1</v>
      </c>
      <c r="E18" s="3" t="s">
        <v>490</v>
      </c>
      <c r="F18" s="26"/>
      <c r="G18" s="26"/>
    </row>
    <row r="19" spans="1:7" x14ac:dyDescent="0.3">
      <c r="A19" s="231"/>
      <c r="B19" s="11"/>
      <c r="C19" s="164"/>
      <c r="D19" s="69">
        <f>D18+1</f>
        <v>2</v>
      </c>
      <c r="E19" s="6" t="s">
        <v>491</v>
      </c>
      <c r="F19" s="26"/>
      <c r="G19" s="26"/>
    </row>
    <row r="20" spans="1:7" x14ac:dyDescent="0.3">
      <c r="A20" s="231"/>
      <c r="B20" s="11"/>
      <c r="C20" s="26"/>
      <c r="D20" s="69">
        <f t="shared" ref="D20" si="1">D19+1</f>
        <v>3</v>
      </c>
      <c r="E20" s="6" t="s">
        <v>492</v>
      </c>
      <c r="F20" s="26"/>
      <c r="G20" s="26"/>
    </row>
    <row r="21" spans="1:7" x14ac:dyDescent="0.3">
      <c r="A21" s="231"/>
      <c r="B21" s="11"/>
      <c r="C21" s="26"/>
      <c r="D21" s="69">
        <v>-98</v>
      </c>
      <c r="E21" s="6" t="s">
        <v>590</v>
      </c>
      <c r="F21" s="26"/>
      <c r="G21" s="26"/>
    </row>
    <row r="22" spans="1:7" x14ac:dyDescent="0.3">
      <c r="A22" s="232"/>
      <c r="B22" s="12"/>
      <c r="C22" s="27"/>
      <c r="D22" s="44">
        <v>-99</v>
      </c>
      <c r="E22" s="7" t="s">
        <v>589</v>
      </c>
      <c r="F22" s="26"/>
      <c r="G22" s="26"/>
    </row>
    <row r="23" spans="1:7" x14ac:dyDescent="0.3">
      <c r="A23" s="230" t="s">
        <v>202</v>
      </c>
      <c r="B23" s="183" t="s">
        <v>462</v>
      </c>
      <c r="C23" s="543" t="s">
        <v>493</v>
      </c>
      <c r="D23" s="54">
        <v>1</v>
      </c>
      <c r="E23" s="3" t="s">
        <v>649</v>
      </c>
      <c r="F23" s="26"/>
      <c r="G23" s="26"/>
    </row>
    <row r="24" spans="1:7" x14ac:dyDescent="0.3">
      <c r="A24" s="212"/>
      <c r="B24" s="210"/>
      <c r="C24" s="544"/>
      <c r="D24" s="69">
        <v>2</v>
      </c>
      <c r="E24" s="6" t="s">
        <v>650</v>
      </c>
      <c r="F24" s="4" t="s">
        <v>535</v>
      </c>
      <c r="G24" s="100">
        <v>4</v>
      </c>
    </row>
    <row r="25" spans="1:7" x14ac:dyDescent="0.3">
      <c r="A25" s="212"/>
      <c r="B25" s="210"/>
      <c r="C25" s="544"/>
      <c r="D25" s="69">
        <v>-98</v>
      </c>
      <c r="E25" s="6" t="s">
        <v>590</v>
      </c>
      <c r="F25" s="4" t="s">
        <v>535</v>
      </c>
      <c r="G25" s="100">
        <v>4</v>
      </c>
    </row>
    <row r="26" spans="1:7" x14ac:dyDescent="0.3">
      <c r="A26" s="213"/>
      <c r="B26" s="211"/>
      <c r="C26" s="140"/>
      <c r="D26" s="44">
        <v>-99</v>
      </c>
      <c r="E26" s="7" t="s">
        <v>589</v>
      </c>
      <c r="F26" s="4" t="s">
        <v>535</v>
      </c>
      <c r="G26" s="100">
        <v>4</v>
      </c>
    </row>
    <row r="27" spans="1:7" x14ac:dyDescent="0.3">
      <c r="A27" s="230" t="s">
        <v>202</v>
      </c>
      <c r="B27" s="183" t="s">
        <v>463</v>
      </c>
      <c r="C27" s="139" t="s">
        <v>489</v>
      </c>
      <c r="D27" s="54">
        <v>1</v>
      </c>
      <c r="E27" s="3" t="s">
        <v>490</v>
      </c>
      <c r="F27" s="26"/>
      <c r="G27" s="26"/>
    </row>
    <row r="28" spans="1:7" x14ac:dyDescent="0.3">
      <c r="A28" s="159"/>
      <c r="B28" s="28"/>
      <c r="C28" s="164"/>
      <c r="D28" s="69">
        <f>D27+1</f>
        <v>2</v>
      </c>
      <c r="E28" s="6" t="s">
        <v>491</v>
      </c>
      <c r="F28" s="26"/>
      <c r="G28" s="26"/>
    </row>
    <row r="29" spans="1:7" x14ac:dyDescent="0.3">
      <c r="A29" s="159"/>
      <c r="B29" s="28"/>
      <c r="C29" s="26"/>
      <c r="D29" s="69">
        <f t="shared" ref="D29" si="2">D28+1</f>
        <v>3</v>
      </c>
      <c r="E29" s="6" t="s">
        <v>492</v>
      </c>
      <c r="F29" s="26"/>
      <c r="G29" s="26"/>
    </row>
    <row r="30" spans="1:7" x14ac:dyDescent="0.3">
      <c r="A30" s="159"/>
      <c r="B30" s="28"/>
      <c r="C30" s="26"/>
      <c r="D30" s="69">
        <v>-98</v>
      </c>
      <c r="E30" s="6" t="s">
        <v>590</v>
      </c>
      <c r="F30" s="26"/>
      <c r="G30" s="26"/>
    </row>
    <row r="31" spans="1:7" x14ac:dyDescent="0.3">
      <c r="A31" s="53"/>
      <c r="B31" s="15"/>
      <c r="C31" s="27"/>
      <c r="D31" s="44">
        <v>-99</v>
      </c>
      <c r="E31" s="7" t="s">
        <v>589</v>
      </c>
      <c r="F31" s="26"/>
      <c r="G31" s="26"/>
    </row>
    <row r="32" spans="1:7" s="13" customFormat="1" ht="39" x14ac:dyDescent="0.3">
      <c r="A32" s="365" t="s">
        <v>202</v>
      </c>
      <c r="B32" s="182" t="s">
        <v>26</v>
      </c>
      <c r="C32" s="142" t="s">
        <v>27</v>
      </c>
      <c r="D32" s="444" t="s">
        <v>62</v>
      </c>
      <c r="E32" s="445"/>
    </row>
    <row r="33" spans="1:5" s="13" customFormat="1" ht="28.5" customHeight="1" x14ac:dyDescent="0.3">
      <c r="A33" s="365" t="s">
        <v>202</v>
      </c>
      <c r="B33" s="182" t="s">
        <v>28</v>
      </c>
      <c r="C33" s="142" t="s">
        <v>0</v>
      </c>
      <c r="D33" s="444" t="s">
        <v>62</v>
      </c>
      <c r="E33" s="445"/>
    </row>
  </sheetData>
  <mergeCells count="7">
    <mergeCell ref="D33:E33"/>
    <mergeCell ref="B1:G1"/>
    <mergeCell ref="C23:C25"/>
    <mergeCell ref="C5:C7"/>
    <mergeCell ref="A3:E3"/>
    <mergeCell ref="C14:C17"/>
    <mergeCell ref="D32:E32"/>
  </mergeCells>
  <phoneticPr fontId="2" type="noConversion"/>
  <pageMargins left="0.7" right="0.7" top="0.75" bottom="0.75" header="0.3" footer="0.3"/>
  <pageSetup orientation="portrait" r:id="rId1"/>
  <extLst>
    <ext xmlns:mx="http://schemas.microsoft.com/office/mac/excel/2008/main" uri="http://schemas.microsoft.com/office/mac/excel/2008/main">
      <mx:PLV Mode="1"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36"/>
  <sheetViews>
    <sheetView view="pageLayout" topLeftCell="A16" workbookViewId="0">
      <selection activeCell="G12" sqref="G12"/>
    </sheetView>
  </sheetViews>
  <sheetFormatPr defaultColWidth="10.765625" defaultRowHeight="13" x14ac:dyDescent="0.3"/>
  <cols>
    <col min="1" max="1" width="2.3828125" style="26" bestFit="1" customWidth="1"/>
    <col min="2" max="2" width="3.3828125" style="51" customWidth="1"/>
    <col min="3" max="3" width="40.61328125" style="1" customWidth="1"/>
    <col min="4" max="4" width="8.84375" style="48" customWidth="1"/>
    <col min="5" max="5" width="17.765625" style="1" customWidth="1"/>
    <col min="6" max="6" width="2.765625" style="26" customWidth="1"/>
    <col min="7" max="7" width="3.15234375" style="26" customWidth="1"/>
    <col min="8" max="8" width="27.765625" style="26" customWidth="1"/>
    <col min="9" max="16384" width="10.765625" style="26"/>
  </cols>
  <sheetData>
    <row r="1" spans="1:7" ht="15" x14ac:dyDescent="0.3">
      <c r="B1" s="525" t="s">
        <v>435</v>
      </c>
      <c r="C1" s="554"/>
      <c r="D1" s="554"/>
      <c r="E1" s="554"/>
      <c r="F1" s="554"/>
      <c r="G1" s="554"/>
    </row>
    <row r="2" spans="1:7" ht="9" customHeight="1" x14ac:dyDescent="0.3"/>
    <row r="3" spans="1:7" ht="13.5" x14ac:dyDescent="0.3">
      <c r="B3" s="555" t="s">
        <v>645</v>
      </c>
      <c r="C3" s="488"/>
      <c r="D3" s="488"/>
      <c r="E3" s="488"/>
      <c r="F3" s="488"/>
      <c r="G3" s="488"/>
    </row>
    <row r="4" spans="1:7" ht="9" customHeight="1" x14ac:dyDescent="0.3"/>
    <row r="5" spans="1:7" ht="33.75" customHeight="1" x14ac:dyDescent="0.3">
      <c r="A5" s="499" t="s">
        <v>651</v>
      </c>
      <c r="B5" s="499"/>
      <c r="C5" s="499"/>
      <c r="D5" s="499"/>
      <c r="E5" s="499"/>
      <c r="F5" s="499"/>
      <c r="G5" s="499"/>
    </row>
    <row r="6" spans="1:7" ht="9.75" customHeight="1" x14ac:dyDescent="0.3">
      <c r="B6" s="154"/>
      <c r="C6" s="154"/>
      <c r="D6" s="154"/>
      <c r="E6" s="154"/>
      <c r="F6" s="154"/>
      <c r="G6" s="154"/>
    </row>
    <row r="7" spans="1:7" ht="16.5" customHeight="1" x14ac:dyDescent="0.3">
      <c r="A7" s="425" t="s">
        <v>54</v>
      </c>
      <c r="B7" s="425"/>
      <c r="C7" s="425"/>
      <c r="D7" s="425"/>
      <c r="E7" s="425"/>
      <c r="F7" s="10"/>
      <c r="G7" s="10"/>
    </row>
    <row r="8" spans="1:7" ht="44.25" customHeight="1" x14ac:dyDescent="0.3">
      <c r="A8" s="379" t="s">
        <v>355</v>
      </c>
      <c r="B8" s="464"/>
      <c r="C8" s="380"/>
      <c r="D8" s="171" t="s">
        <v>356</v>
      </c>
      <c r="E8" s="171" t="s">
        <v>357</v>
      </c>
      <c r="F8" s="33"/>
      <c r="G8" s="33"/>
    </row>
    <row r="9" spans="1:7" ht="25.4" customHeight="1" x14ac:dyDescent="0.3">
      <c r="A9" s="181" t="s">
        <v>325</v>
      </c>
      <c r="B9" s="182">
        <v>1</v>
      </c>
      <c r="C9" s="5" t="s">
        <v>652</v>
      </c>
      <c r="D9" s="180"/>
      <c r="E9" s="5"/>
    </row>
    <row r="10" spans="1:7" ht="25.4" customHeight="1" x14ac:dyDescent="0.3">
      <c r="A10" s="181" t="s">
        <v>325</v>
      </c>
      <c r="B10" s="182">
        <f t="shared" ref="B10:B16" si="0">B9+1</f>
        <v>2</v>
      </c>
      <c r="C10" s="5" t="s">
        <v>661</v>
      </c>
      <c r="D10" s="180"/>
      <c r="E10" s="5"/>
    </row>
    <row r="11" spans="1:7" ht="25.4" customHeight="1" x14ac:dyDescent="0.3">
      <c r="A11" s="181" t="s">
        <v>325</v>
      </c>
      <c r="B11" s="182">
        <f t="shared" si="0"/>
        <v>3</v>
      </c>
      <c r="C11" s="5" t="s">
        <v>644</v>
      </c>
      <c r="D11" s="180"/>
      <c r="E11" s="345"/>
    </row>
    <row r="12" spans="1:7" ht="25.4" customHeight="1" x14ac:dyDescent="0.3">
      <c r="A12" s="181" t="s">
        <v>325</v>
      </c>
      <c r="B12" s="182">
        <f>B11+1</f>
        <v>4</v>
      </c>
      <c r="C12" s="5" t="s">
        <v>578</v>
      </c>
      <c r="D12" s="180"/>
      <c r="E12" s="345"/>
    </row>
    <row r="13" spans="1:7" ht="25.4" customHeight="1" x14ac:dyDescent="0.3">
      <c r="A13" s="181" t="s">
        <v>325</v>
      </c>
      <c r="B13" s="182">
        <f t="shared" si="0"/>
        <v>5</v>
      </c>
      <c r="C13" s="5" t="s">
        <v>53</v>
      </c>
      <c r="D13" s="180"/>
      <c r="E13" s="5"/>
    </row>
    <row r="14" spans="1:7" ht="25.4" customHeight="1" x14ac:dyDescent="0.3">
      <c r="A14" s="181" t="s">
        <v>325</v>
      </c>
      <c r="B14" s="182">
        <f>B13+1</f>
        <v>6</v>
      </c>
      <c r="C14" s="5" t="s">
        <v>656</v>
      </c>
      <c r="D14" s="180"/>
      <c r="E14" s="5"/>
    </row>
    <row r="15" spans="1:7" ht="25.5" customHeight="1" x14ac:dyDescent="0.3">
      <c r="A15" s="181" t="s">
        <v>325</v>
      </c>
      <c r="B15" s="182">
        <f t="shared" si="0"/>
        <v>7</v>
      </c>
      <c r="C15" s="5" t="s">
        <v>353</v>
      </c>
      <c r="D15" s="180"/>
      <c r="E15" s="345"/>
    </row>
    <row r="16" spans="1:7" ht="25.4" customHeight="1" x14ac:dyDescent="0.3">
      <c r="A16" s="181" t="s">
        <v>325</v>
      </c>
      <c r="B16" s="182">
        <f t="shared" si="0"/>
        <v>8</v>
      </c>
      <c r="C16" s="5" t="s">
        <v>569</v>
      </c>
      <c r="D16" s="180"/>
      <c r="E16" s="5"/>
    </row>
    <row r="17" spans="1:7" ht="25.4" customHeight="1" x14ac:dyDescent="0.3">
      <c r="A17" s="181" t="s">
        <v>325</v>
      </c>
      <c r="B17" s="182">
        <f>B16+1</f>
        <v>9</v>
      </c>
      <c r="C17" s="5" t="s">
        <v>258</v>
      </c>
      <c r="D17" s="180"/>
      <c r="E17" s="5"/>
    </row>
    <row r="18" spans="1:7" ht="11.25" customHeight="1" x14ac:dyDescent="0.3">
      <c r="A18" s="221"/>
      <c r="B18" s="48"/>
    </row>
    <row r="19" spans="1:7" x14ac:dyDescent="0.3">
      <c r="A19" s="547" t="s">
        <v>373</v>
      </c>
      <c r="B19" s="399">
        <f>B17+1</f>
        <v>10</v>
      </c>
      <c r="C19" s="371" t="s">
        <v>243</v>
      </c>
      <c r="D19" s="124">
        <v>1</v>
      </c>
      <c r="E19" s="179" t="s">
        <v>649</v>
      </c>
      <c r="F19" s="194"/>
      <c r="G19" s="31"/>
    </row>
    <row r="20" spans="1:7" x14ac:dyDescent="0.3">
      <c r="A20" s="550"/>
      <c r="B20" s="477"/>
      <c r="C20" s="556"/>
      <c r="D20" s="123">
        <v>2</v>
      </c>
      <c r="E20" s="1" t="s">
        <v>650</v>
      </c>
      <c r="F20" s="160"/>
      <c r="G20" s="18"/>
    </row>
    <row r="21" spans="1:7" x14ac:dyDescent="0.3">
      <c r="A21" s="550"/>
      <c r="B21" s="477"/>
      <c r="C21" s="556"/>
      <c r="D21" s="123">
        <v>-98</v>
      </c>
      <c r="E21" s="1" t="s">
        <v>590</v>
      </c>
      <c r="F21" s="160"/>
      <c r="G21" s="18"/>
    </row>
    <row r="22" spans="1:7" x14ac:dyDescent="0.3">
      <c r="A22" s="548"/>
      <c r="B22" s="552"/>
      <c r="C22" s="557"/>
      <c r="D22" s="53">
        <v>-99</v>
      </c>
      <c r="E22" s="27" t="s">
        <v>679</v>
      </c>
      <c r="F22" s="55"/>
      <c r="G22" s="17"/>
    </row>
    <row r="23" spans="1:7" x14ac:dyDescent="0.3">
      <c r="A23" s="547" t="s">
        <v>373</v>
      </c>
      <c r="B23" s="399">
        <f>B19+1</f>
        <v>11</v>
      </c>
      <c r="C23" s="371" t="s">
        <v>643</v>
      </c>
      <c r="D23" s="50">
        <v>1</v>
      </c>
      <c r="E23" s="3" t="s">
        <v>649</v>
      </c>
      <c r="F23" s="31"/>
      <c r="G23" s="31"/>
    </row>
    <row r="24" spans="1:7" x14ac:dyDescent="0.3">
      <c r="A24" s="548"/>
      <c r="B24" s="552"/>
      <c r="C24" s="553"/>
      <c r="D24" s="49">
        <v>2</v>
      </c>
      <c r="E24" s="7" t="s">
        <v>650</v>
      </c>
      <c r="F24" s="27"/>
      <c r="G24" s="27"/>
    </row>
    <row r="25" spans="1:7" x14ac:dyDescent="0.3">
      <c r="A25" s="547" t="s">
        <v>373</v>
      </c>
      <c r="B25" s="399">
        <f>B23+1</f>
        <v>12</v>
      </c>
      <c r="C25" s="371" t="s">
        <v>287</v>
      </c>
      <c r="D25" s="50">
        <v>1</v>
      </c>
      <c r="E25" s="3" t="s">
        <v>657</v>
      </c>
      <c r="F25" s="31"/>
      <c r="G25" s="31"/>
    </row>
    <row r="26" spans="1:7" x14ac:dyDescent="0.3">
      <c r="A26" s="549"/>
      <c r="B26" s="474"/>
      <c r="C26" s="372"/>
      <c r="D26" s="48">
        <f>D25+1</f>
        <v>2</v>
      </c>
      <c r="E26" s="6" t="s">
        <v>274</v>
      </c>
    </row>
    <row r="27" spans="1:7" x14ac:dyDescent="0.3">
      <c r="A27" s="550"/>
      <c r="B27" s="477"/>
      <c r="C27" s="426"/>
      <c r="D27" s="48">
        <f t="shared" ref="D27:D31" si="1">D26+1</f>
        <v>3</v>
      </c>
      <c r="E27" s="6" t="s">
        <v>658</v>
      </c>
    </row>
    <row r="28" spans="1:7" x14ac:dyDescent="0.3">
      <c r="A28" s="550"/>
      <c r="B28" s="477"/>
      <c r="C28" s="426"/>
      <c r="D28" s="48">
        <f t="shared" si="1"/>
        <v>4</v>
      </c>
      <c r="E28" s="6" t="s">
        <v>311</v>
      </c>
    </row>
    <row r="29" spans="1:7" ht="12.75" customHeight="1" x14ac:dyDescent="0.3">
      <c r="A29" s="550"/>
      <c r="B29" s="477"/>
      <c r="C29" s="426"/>
      <c r="D29" s="48">
        <f t="shared" si="1"/>
        <v>5</v>
      </c>
      <c r="E29" s="6" t="s">
        <v>659</v>
      </c>
    </row>
    <row r="30" spans="1:7" x14ac:dyDescent="0.3">
      <c r="A30" s="550"/>
      <c r="B30" s="477"/>
      <c r="C30" s="426"/>
      <c r="D30" s="48">
        <f t="shared" si="1"/>
        <v>6</v>
      </c>
      <c r="E30" s="6" t="s">
        <v>660</v>
      </c>
    </row>
    <row r="31" spans="1:7" x14ac:dyDescent="0.3">
      <c r="A31" s="548"/>
      <c r="B31" s="552"/>
      <c r="C31" s="553"/>
      <c r="D31" s="49">
        <f t="shared" si="1"/>
        <v>7</v>
      </c>
      <c r="E31" s="7" t="s">
        <v>665</v>
      </c>
      <c r="F31" s="27"/>
      <c r="G31" s="27"/>
    </row>
    <row r="32" spans="1:7" x14ac:dyDescent="0.3">
      <c r="A32" s="468" t="s">
        <v>373</v>
      </c>
      <c r="B32" s="399">
        <f>B25+1</f>
        <v>13</v>
      </c>
      <c r="C32" s="371" t="s">
        <v>211</v>
      </c>
      <c r="D32" s="50">
        <v>1</v>
      </c>
      <c r="E32" s="30" t="s">
        <v>650</v>
      </c>
      <c r="F32" s="308"/>
      <c r="G32" s="31"/>
    </row>
    <row r="33" spans="1:7" x14ac:dyDescent="0.3">
      <c r="A33" s="485"/>
      <c r="B33" s="474"/>
      <c r="C33" s="372"/>
      <c r="D33" s="48">
        <f>D32+1</f>
        <v>2</v>
      </c>
      <c r="E33" s="28" t="s">
        <v>418</v>
      </c>
      <c r="F33" s="33"/>
    </row>
    <row r="34" spans="1:7" x14ac:dyDescent="0.3">
      <c r="A34" s="485"/>
      <c r="B34" s="474"/>
      <c r="C34" s="372"/>
      <c r="D34" s="48">
        <f t="shared" ref="D34:D36" si="2">D33+1</f>
        <v>3</v>
      </c>
      <c r="E34" s="6" t="s">
        <v>639</v>
      </c>
      <c r="F34" s="33"/>
    </row>
    <row r="35" spans="1:7" x14ac:dyDescent="0.3">
      <c r="A35" s="469"/>
      <c r="B35" s="477"/>
      <c r="C35" s="426"/>
      <c r="D35" s="48">
        <f t="shared" si="2"/>
        <v>4</v>
      </c>
      <c r="E35" s="6" t="s">
        <v>638</v>
      </c>
      <c r="F35" s="33"/>
    </row>
    <row r="36" spans="1:7" x14ac:dyDescent="0.3">
      <c r="A36" s="551"/>
      <c r="B36" s="552"/>
      <c r="C36" s="553"/>
      <c r="D36" s="49">
        <f t="shared" si="2"/>
        <v>5</v>
      </c>
      <c r="E36" s="7" t="s">
        <v>705</v>
      </c>
      <c r="F36" s="301"/>
      <c r="G36" s="27"/>
    </row>
  </sheetData>
  <mergeCells count="17">
    <mergeCell ref="B1:G1"/>
    <mergeCell ref="B3:G3"/>
    <mergeCell ref="B19:B22"/>
    <mergeCell ref="C19:C22"/>
    <mergeCell ref="A8:C8"/>
    <mergeCell ref="A7:E7"/>
    <mergeCell ref="A5:G5"/>
    <mergeCell ref="A19:A22"/>
    <mergeCell ref="A23:A24"/>
    <mergeCell ref="A25:A31"/>
    <mergeCell ref="A32:A36"/>
    <mergeCell ref="B32:B36"/>
    <mergeCell ref="C32:C36"/>
    <mergeCell ref="C23:C24"/>
    <mergeCell ref="B25:B31"/>
    <mergeCell ref="C25:C31"/>
    <mergeCell ref="B23:B24"/>
  </mergeCells>
  <phoneticPr fontId="2"/>
  <pageMargins left="0.75" right="0.75" top="1" bottom="1" header="0.5" footer="0.5"/>
  <pageSetup orientation="portrait" horizontalDpi="4294967292" verticalDpi="4294967292" r:id="rId1"/>
  <headerFooter alignWithMargins="0"/>
  <extLst>
    <ext xmlns:mx="http://schemas.microsoft.com/office/mac/excel/2008/main" uri="http://schemas.microsoft.com/office/mac/excel/2008/main">
      <mx:PLV Mode="1"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33"/>
  <sheetViews>
    <sheetView view="pageLayout" topLeftCell="A10" workbookViewId="0">
      <selection activeCell="C22" sqref="C22:C25"/>
    </sheetView>
  </sheetViews>
  <sheetFormatPr defaultColWidth="8.765625" defaultRowHeight="13.5" x14ac:dyDescent="0.3"/>
  <cols>
    <col min="1" max="2" width="2.765625" bestFit="1" customWidth="1"/>
    <col min="3" max="3" width="26.84375" customWidth="1"/>
    <col min="4" max="4" width="36.765625" customWidth="1"/>
  </cols>
  <sheetData>
    <row r="1" spans="1:4" ht="15" customHeight="1" x14ac:dyDescent="0.3">
      <c r="A1" s="525" t="s">
        <v>106</v>
      </c>
      <c r="B1" s="525"/>
      <c r="C1" s="525"/>
      <c r="D1" s="525"/>
    </row>
    <row r="2" spans="1:4" x14ac:dyDescent="0.3">
      <c r="A2" s="51"/>
      <c r="B2" s="1"/>
      <c r="C2" s="48"/>
      <c r="D2" s="1"/>
    </row>
    <row r="3" spans="1:4" ht="12.75" customHeight="1" x14ac:dyDescent="0.3">
      <c r="A3" s="555" t="s">
        <v>107</v>
      </c>
      <c r="B3" s="555"/>
      <c r="C3" s="555"/>
      <c r="D3" s="555"/>
    </row>
    <row r="5" spans="1:4" ht="33" customHeight="1" x14ac:dyDescent="0.3">
      <c r="A5" s="559" t="s">
        <v>108</v>
      </c>
      <c r="B5" s="560"/>
      <c r="C5" s="560"/>
      <c r="D5" s="561"/>
    </row>
    <row r="6" spans="1:4" ht="15" customHeight="1" x14ac:dyDescent="0.3">
      <c r="A6" s="558" t="s">
        <v>642</v>
      </c>
      <c r="B6" s="530"/>
      <c r="C6" s="21" t="s">
        <v>663</v>
      </c>
      <c r="D6" s="23" t="s">
        <v>55</v>
      </c>
    </row>
    <row r="7" spans="1:4" ht="18" customHeight="1" x14ac:dyDescent="0.3">
      <c r="A7" s="124" t="s">
        <v>109</v>
      </c>
      <c r="B7" s="183">
        <v>14</v>
      </c>
      <c r="C7" s="446" t="s">
        <v>110</v>
      </c>
      <c r="D7" s="346" t="s">
        <v>111</v>
      </c>
    </row>
    <row r="8" spans="1:4" ht="18" customHeight="1" x14ac:dyDescent="0.3">
      <c r="A8" s="74"/>
      <c r="B8" s="75"/>
      <c r="C8" s="503"/>
      <c r="D8" s="346" t="s">
        <v>111</v>
      </c>
    </row>
    <row r="9" spans="1:4" ht="18" customHeight="1" x14ac:dyDescent="0.3">
      <c r="A9" s="74"/>
      <c r="B9" s="75"/>
      <c r="C9" s="503"/>
      <c r="D9" s="346" t="s">
        <v>111</v>
      </c>
    </row>
    <row r="10" spans="1:4" ht="18" customHeight="1" x14ac:dyDescent="0.3">
      <c r="A10" s="74"/>
      <c r="B10" s="75"/>
      <c r="D10" s="346" t="s">
        <v>111</v>
      </c>
    </row>
    <row r="11" spans="1:4" ht="18" customHeight="1" x14ac:dyDescent="0.3">
      <c r="A11" s="74"/>
      <c r="B11" s="75"/>
      <c r="D11" s="346" t="s">
        <v>111</v>
      </c>
    </row>
    <row r="12" spans="1:4" ht="18" customHeight="1" x14ac:dyDescent="0.3">
      <c r="A12" s="74"/>
      <c r="B12" s="75"/>
      <c r="D12" s="346" t="s">
        <v>111</v>
      </c>
    </row>
    <row r="13" spans="1:4" ht="18" customHeight="1" x14ac:dyDescent="0.3">
      <c r="A13" s="74"/>
      <c r="B13" s="75"/>
      <c r="D13" s="346" t="s">
        <v>111</v>
      </c>
    </row>
    <row r="14" spans="1:4" ht="18" customHeight="1" x14ac:dyDescent="0.3">
      <c r="A14" s="74"/>
      <c r="B14" s="75"/>
      <c r="D14" s="346" t="s">
        <v>111</v>
      </c>
    </row>
    <row r="15" spans="1:4" ht="18" customHeight="1" x14ac:dyDescent="0.3">
      <c r="A15" s="77"/>
      <c r="B15" s="78"/>
      <c r="C15" s="85"/>
      <c r="D15" s="346" t="s">
        <v>111</v>
      </c>
    </row>
    <row r="16" spans="1:4" ht="18" customHeight="1" x14ac:dyDescent="0.3">
      <c r="A16" s="124" t="s">
        <v>109</v>
      </c>
      <c r="B16" s="183">
        <f>B7+1</f>
        <v>15</v>
      </c>
      <c r="C16" s="446" t="s">
        <v>112</v>
      </c>
      <c r="D16" s="346" t="s">
        <v>111</v>
      </c>
    </row>
    <row r="17" spans="1:4" ht="18" customHeight="1" x14ac:dyDescent="0.3">
      <c r="A17" s="74"/>
      <c r="B17" s="75"/>
      <c r="C17" s="503"/>
      <c r="D17" s="346" t="s">
        <v>111</v>
      </c>
    </row>
    <row r="18" spans="1:4" ht="18" customHeight="1" x14ac:dyDescent="0.3">
      <c r="A18" s="74"/>
      <c r="B18" s="75"/>
      <c r="C18" s="503"/>
      <c r="D18" s="346" t="s">
        <v>111</v>
      </c>
    </row>
    <row r="19" spans="1:4" ht="18" customHeight="1" x14ac:dyDescent="0.3">
      <c r="A19" s="74"/>
      <c r="B19" s="75"/>
      <c r="C19" s="503"/>
      <c r="D19" s="346" t="s">
        <v>111</v>
      </c>
    </row>
    <row r="20" spans="1:4" ht="18" customHeight="1" x14ac:dyDescent="0.3">
      <c r="A20" s="74"/>
      <c r="B20" s="75"/>
      <c r="C20" s="74"/>
      <c r="D20" s="346" t="s">
        <v>111</v>
      </c>
    </row>
    <row r="21" spans="1:4" ht="18" customHeight="1" x14ac:dyDescent="0.3">
      <c r="A21" s="77"/>
      <c r="B21" s="78"/>
      <c r="C21" s="77"/>
      <c r="D21" s="309" t="s">
        <v>111</v>
      </c>
    </row>
    <row r="22" spans="1:4" ht="18" customHeight="1" x14ac:dyDescent="0.3">
      <c r="A22" s="124" t="s">
        <v>109</v>
      </c>
      <c r="B22" s="183">
        <f>B16+1</f>
        <v>16</v>
      </c>
      <c r="C22" s="446" t="s">
        <v>113</v>
      </c>
      <c r="D22" s="346" t="s">
        <v>111</v>
      </c>
    </row>
    <row r="23" spans="1:4" ht="18" customHeight="1" x14ac:dyDescent="0.3">
      <c r="A23" s="74"/>
      <c r="B23" s="75"/>
      <c r="C23" s="503"/>
      <c r="D23" s="346" t="s">
        <v>111</v>
      </c>
    </row>
    <row r="24" spans="1:4" ht="18" customHeight="1" x14ac:dyDescent="0.3">
      <c r="A24" s="74"/>
      <c r="B24" s="75"/>
      <c r="C24" s="503"/>
      <c r="D24" s="346" t="s">
        <v>111</v>
      </c>
    </row>
    <row r="25" spans="1:4" ht="18" customHeight="1" x14ac:dyDescent="0.3">
      <c r="A25" s="74"/>
      <c r="B25" s="75"/>
      <c r="C25" s="503"/>
      <c r="D25" s="346" t="s">
        <v>111</v>
      </c>
    </row>
    <row r="26" spans="1:4" ht="18" customHeight="1" x14ac:dyDescent="0.3">
      <c r="A26" s="74"/>
      <c r="B26" s="75"/>
      <c r="C26" s="74"/>
      <c r="D26" s="346" t="s">
        <v>111</v>
      </c>
    </row>
    <row r="27" spans="1:4" ht="18" customHeight="1" x14ac:dyDescent="0.3">
      <c r="A27" s="77"/>
      <c r="B27" s="78"/>
      <c r="C27" s="77"/>
      <c r="D27" s="309" t="s">
        <v>111</v>
      </c>
    </row>
    <row r="28" spans="1:4" ht="18" customHeight="1" x14ac:dyDescent="0.3">
      <c r="A28" s="124" t="s">
        <v>109</v>
      </c>
      <c r="B28" s="183">
        <f>B22+1</f>
        <v>17</v>
      </c>
      <c r="C28" s="446" t="s">
        <v>114</v>
      </c>
      <c r="D28" s="346" t="s">
        <v>111</v>
      </c>
    </row>
    <row r="29" spans="1:4" ht="18" customHeight="1" x14ac:dyDescent="0.3">
      <c r="A29" s="74"/>
      <c r="B29" s="75"/>
      <c r="C29" s="503"/>
      <c r="D29" s="346" t="s">
        <v>111</v>
      </c>
    </row>
    <row r="30" spans="1:4" ht="18" customHeight="1" x14ac:dyDescent="0.3">
      <c r="A30" s="74"/>
      <c r="B30" s="75"/>
      <c r="C30" s="503"/>
      <c r="D30" s="346" t="s">
        <v>111</v>
      </c>
    </row>
    <row r="31" spans="1:4" ht="18" customHeight="1" x14ac:dyDescent="0.3">
      <c r="A31" s="74"/>
      <c r="B31" s="75"/>
      <c r="C31" s="503"/>
      <c r="D31" s="346" t="s">
        <v>111</v>
      </c>
    </row>
    <row r="32" spans="1:4" ht="18" customHeight="1" x14ac:dyDescent="0.3">
      <c r="A32" s="74"/>
      <c r="B32" s="75"/>
      <c r="C32" s="74"/>
      <c r="D32" s="346" t="s">
        <v>111</v>
      </c>
    </row>
    <row r="33" spans="1:4" ht="18" customHeight="1" x14ac:dyDescent="0.3">
      <c r="A33" s="77"/>
      <c r="B33" s="78"/>
      <c r="C33" s="77"/>
      <c r="D33" s="309" t="s">
        <v>111</v>
      </c>
    </row>
  </sheetData>
  <mergeCells count="8">
    <mergeCell ref="A1:D1"/>
    <mergeCell ref="C7:C9"/>
    <mergeCell ref="C16:C19"/>
    <mergeCell ref="C22:C25"/>
    <mergeCell ref="C28:C31"/>
    <mergeCell ref="A6:B6"/>
    <mergeCell ref="A5:D5"/>
    <mergeCell ref="A3:D3"/>
  </mergeCells>
  <phoneticPr fontId="2" type="noConversion"/>
  <pageMargins left="0.7" right="0.7" top="0.75" bottom="0.75" header="0.3" footer="0.3"/>
  <pageSetup orientation="portrait" r:id="rId1"/>
  <extLst>
    <ext xmlns:mx="http://schemas.microsoft.com/office/mac/excel/2008/main" uri="http://schemas.microsoft.com/office/mac/excel/2008/main">
      <mx:PLV Mode="1"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2:G37"/>
  <sheetViews>
    <sheetView showWhiteSpace="0" view="pageLayout" workbookViewId="0">
      <selection activeCell="F6" sqref="F6:G6"/>
    </sheetView>
  </sheetViews>
  <sheetFormatPr defaultColWidth="8.765625" defaultRowHeight="13.5" x14ac:dyDescent="0.3"/>
  <cols>
    <col min="1" max="1" width="1.3828125" customWidth="1"/>
    <col min="2" max="2" width="3.23046875" bestFit="1" customWidth="1"/>
    <col min="3" max="3" width="36.15234375" customWidth="1"/>
    <col min="4" max="4" width="3.765625" customWidth="1"/>
    <col min="5" max="5" width="31.84375" customWidth="1"/>
    <col min="6" max="6" width="2.84375" customWidth="1"/>
    <col min="7" max="7" width="14.765625" customWidth="1"/>
  </cols>
  <sheetData>
    <row r="2" spans="1:7" ht="14.25" customHeight="1" x14ac:dyDescent="0.3">
      <c r="A2" s="391" t="s">
        <v>436</v>
      </c>
      <c r="B2" s="391"/>
      <c r="C2" s="486"/>
      <c r="D2" s="486"/>
      <c r="E2" s="486"/>
    </row>
    <row r="4" spans="1:7" x14ac:dyDescent="0.3">
      <c r="A4" s="529" t="s">
        <v>642</v>
      </c>
      <c r="B4" s="530"/>
      <c r="C4" s="102" t="s">
        <v>663</v>
      </c>
      <c r="D4" s="103"/>
      <c r="E4" s="104" t="s">
        <v>647</v>
      </c>
      <c r="F4" s="414" t="s">
        <v>648</v>
      </c>
      <c r="G4" s="415"/>
    </row>
    <row r="5" spans="1:7" ht="41.25" customHeight="1" x14ac:dyDescent="0.3">
      <c r="A5" s="381" t="s">
        <v>104</v>
      </c>
      <c r="B5" s="562"/>
      <c r="C5" s="562"/>
      <c r="D5" s="562"/>
      <c r="E5" s="382"/>
      <c r="G5" s="97"/>
    </row>
    <row r="6" spans="1:7" ht="132.75" customHeight="1" x14ac:dyDescent="0.3">
      <c r="A6" s="247" t="s">
        <v>374</v>
      </c>
      <c r="B6" s="179" t="s">
        <v>172</v>
      </c>
      <c r="C6" s="139" t="s">
        <v>174</v>
      </c>
      <c r="D6" s="464" t="s">
        <v>171</v>
      </c>
      <c r="E6" s="380"/>
      <c r="F6" s="503" t="s">
        <v>56</v>
      </c>
      <c r="G6" s="425"/>
    </row>
    <row r="7" spans="1:7" ht="61.5" customHeight="1" x14ac:dyDescent="0.3">
      <c r="A7" s="571" t="s">
        <v>103</v>
      </c>
      <c r="B7" s="572"/>
      <c r="C7" s="572"/>
      <c r="D7" s="572"/>
      <c r="E7" s="573"/>
      <c r="F7" s="158"/>
      <c r="G7" s="1"/>
    </row>
    <row r="8" spans="1:7" ht="27" customHeight="1" x14ac:dyDescent="0.3">
      <c r="A8" s="247" t="s">
        <v>374</v>
      </c>
      <c r="B8" s="179" t="s">
        <v>173</v>
      </c>
      <c r="C8" s="139" t="s">
        <v>170</v>
      </c>
      <c r="D8" s="464" t="s">
        <v>171</v>
      </c>
      <c r="E8" s="380"/>
      <c r="F8" s="337" t="s">
        <v>667</v>
      </c>
      <c r="G8" s="4" t="s">
        <v>555</v>
      </c>
    </row>
    <row r="9" spans="1:7" ht="26" x14ac:dyDescent="0.3">
      <c r="A9" s="247" t="s">
        <v>374</v>
      </c>
      <c r="B9" s="240">
        <v>1</v>
      </c>
      <c r="C9" s="335" t="s">
        <v>547</v>
      </c>
      <c r="D9" s="563" t="s">
        <v>548</v>
      </c>
      <c r="E9" s="535"/>
      <c r="G9" s="97"/>
    </row>
    <row r="10" spans="1:7" x14ac:dyDescent="0.3">
      <c r="A10" s="212"/>
      <c r="B10" s="210"/>
      <c r="C10" s="336"/>
      <c r="D10" s="45">
        <v>-97</v>
      </c>
      <c r="E10" s="89" t="s">
        <v>549</v>
      </c>
      <c r="F10" s="76" t="s">
        <v>667</v>
      </c>
      <c r="G10" s="26" t="s">
        <v>555</v>
      </c>
    </row>
    <row r="11" spans="1:7" x14ac:dyDescent="0.3">
      <c r="A11" s="212"/>
      <c r="B11" s="210"/>
      <c r="C11" s="107"/>
      <c r="D11" s="69">
        <v>-98</v>
      </c>
      <c r="E11" s="6" t="s">
        <v>590</v>
      </c>
      <c r="F11" s="76"/>
      <c r="G11" s="71"/>
    </row>
    <row r="12" spans="1:7" x14ac:dyDescent="0.3">
      <c r="A12" s="212"/>
      <c r="B12" s="210"/>
      <c r="C12" s="108"/>
      <c r="D12" s="44">
        <v>-99</v>
      </c>
      <c r="E12" s="7" t="s">
        <v>589</v>
      </c>
      <c r="F12" s="32"/>
      <c r="G12" s="109"/>
    </row>
    <row r="13" spans="1:7" x14ac:dyDescent="0.3">
      <c r="A13" s="247" t="s">
        <v>374</v>
      </c>
      <c r="B13" s="240">
        <v>2</v>
      </c>
      <c r="C13" s="564" t="s">
        <v>550</v>
      </c>
      <c r="D13" s="54">
        <v>1</v>
      </c>
      <c r="E13" s="3" t="s">
        <v>649</v>
      </c>
      <c r="G13" s="97"/>
    </row>
    <row r="14" spans="1:7" x14ac:dyDescent="0.3">
      <c r="A14" s="212"/>
      <c r="B14" s="210"/>
      <c r="C14" s="564"/>
      <c r="D14" s="69">
        <v>2</v>
      </c>
      <c r="E14" s="6" t="s">
        <v>650</v>
      </c>
      <c r="G14" s="97"/>
    </row>
    <row r="15" spans="1:7" x14ac:dyDescent="0.3">
      <c r="A15" s="212"/>
      <c r="B15" s="210"/>
      <c r="C15" s="564"/>
      <c r="D15" s="69">
        <v>-98</v>
      </c>
      <c r="E15" s="6" t="s">
        <v>590</v>
      </c>
      <c r="G15" s="97"/>
    </row>
    <row r="16" spans="1:7" ht="13.5" customHeight="1" x14ac:dyDescent="0.3">
      <c r="A16" s="213"/>
      <c r="B16" s="211"/>
      <c r="C16" s="564"/>
      <c r="D16" s="44">
        <v>-99</v>
      </c>
      <c r="E16" s="7" t="s">
        <v>589</v>
      </c>
      <c r="G16" s="97"/>
    </row>
    <row r="17" spans="1:7" ht="21.75" customHeight="1" x14ac:dyDescent="0.3">
      <c r="A17" s="247" t="s">
        <v>374</v>
      </c>
      <c r="B17" s="240">
        <v>3</v>
      </c>
      <c r="C17" s="371" t="s">
        <v>551</v>
      </c>
      <c r="D17" s="565" t="s">
        <v>579</v>
      </c>
      <c r="E17" s="566"/>
      <c r="G17" s="97"/>
    </row>
    <row r="18" spans="1:7" ht="18.75" customHeight="1" x14ac:dyDescent="0.3">
      <c r="A18" s="251"/>
      <c r="B18" s="241"/>
      <c r="C18" s="372"/>
      <c r="D18" s="567" t="s">
        <v>580</v>
      </c>
      <c r="E18" s="568"/>
      <c r="F18" s="4"/>
      <c r="G18" s="100"/>
    </row>
    <row r="19" spans="1:7" ht="21" customHeight="1" x14ac:dyDescent="0.3">
      <c r="A19" s="74"/>
      <c r="B19" s="75"/>
      <c r="C19" s="372"/>
      <c r="D19" s="567" t="s">
        <v>581</v>
      </c>
      <c r="E19" s="568"/>
      <c r="F19" s="100" t="s">
        <v>183</v>
      </c>
      <c r="G19" s="100"/>
    </row>
    <row r="20" spans="1:7" ht="19.5" customHeight="1" x14ac:dyDescent="0.3">
      <c r="A20" s="77"/>
      <c r="B20" s="78"/>
      <c r="C20" s="384"/>
      <c r="D20" s="569" t="s">
        <v>582</v>
      </c>
      <c r="E20" s="570"/>
      <c r="F20" s="76" t="s">
        <v>667</v>
      </c>
      <c r="G20" s="132">
        <f>B35</f>
        <v>7</v>
      </c>
    </row>
    <row r="21" spans="1:7" x14ac:dyDescent="0.3">
      <c r="A21" s="247" t="s">
        <v>374</v>
      </c>
      <c r="B21" s="240">
        <v>4</v>
      </c>
      <c r="C21" s="564" t="s">
        <v>552</v>
      </c>
      <c r="D21" s="54">
        <v>1</v>
      </c>
      <c r="E21" s="3" t="s">
        <v>649</v>
      </c>
    </row>
    <row r="22" spans="1:7" x14ac:dyDescent="0.3">
      <c r="A22" s="212"/>
      <c r="B22" s="210"/>
      <c r="C22" s="564"/>
      <c r="D22" s="69">
        <v>2</v>
      </c>
      <c r="E22" s="6" t="s">
        <v>650</v>
      </c>
    </row>
    <row r="23" spans="1:7" x14ac:dyDescent="0.3">
      <c r="A23" s="212"/>
      <c r="B23" s="210"/>
      <c r="C23" s="564"/>
      <c r="D23" s="69">
        <v>-98</v>
      </c>
      <c r="E23" s="6" t="s">
        <v>590</v>
      </c>
    </row>
    <row r="24" spans="1:7" x14ac:dyDescent="0.3">
      <c r="A24" s="213"/>
      <c r="B24" s="211"/>
      <c r="C24" s="564"/>
      <c r="D24" s="44">
        <v>-99</v>
      </c>
      <c r="E24" s="7" t="s">
        <v>589</v>
      </c>
    </row>
    <row r="25" spans="1:7" x14ac:dyDescent="0.3">
      <c r="A25" s="247" t="s">
        <v>374</v>
      </c>
      <c r="B25" s="240">
        <v>5</v>
      </c>
      <c r="C25" s="564" t="s">
        <v>105</v>
      </c>
      <c r="D25" s="54">
        <v>1</v>
      </c>
      <c r="E25" s="3" t="s">
        <v>583</v>
      </c>
    </row>
    <row r="26" spans="1:7" x14ac:dyDescent="0.3">
      <c r="A26" s="212"/>
      <c r="B26" s="210"/>
      <c r="C26" s="564"/>
      <c r="D26" s="69">
        <f>D25+1</f>
        <v>2</v>
      </c>
      <c r="E26" s="6" t="s">
        <v>584</v>
      </c>
    </row>
    <row r="27" spans="1:7" x14ac:dyDescent="0.3">
      <c r="A27" s="212"/>
      <c r="B27" s="210"/>
      <c r="C27" s="564"/>
      <c r="D27" s="69">
        <f t="shared" ref="D27:D29" si="0">D26+1</f>
        <v>3</v>
      </c>
      <c r="E27" s="6" t="s">
        <v>488</v>
      </c>
    </row>
    <row r="28" spans="1:7" x14ac:dyDescent="0.3">
      <c r="A28" s="212"/>
      <c r="B28" s="210"/>
      <c r="C28" s="564"/>
      <c r="D28" s="69">
        <f t="shared" si="0"/>
        <v>4</v>
      </c>
      <c r="E28" s="6" t="s">
        <v>585</v>
      </c>
    </row>
    <row r="29" spans="1:7" x14ac:dyDescent="0.3">
      <c r="A29" s="212"/>
      <c r="B29" s="210"/>
      <c r="C29" s="564"/>
      <c r="D29" s="69">
        <f t="shared" si="0"/>
        <v>5</v>
      </c>
      <c r="E29" s="6" t="s">
        <v>665</v>
      </c>
    </row>
    <row r="30" spans="1:7" x14ac:dyDescent="0.3">
      <c r="A30" s="212"/>
      <c r="B30" s="210"/>
      <c r="C30" s="564"/>
      <c r="D30" s="69">
        <v>-98</v>
      </c>
      <c r="E30" s="6" t="s">
        <v>590</v>
      </c>
    </row>
    <row r="31" spans="1:7" x14ac:dyDescent="0.3">
      <c r="A31" s="213"/>
      <c r="B31" s="211"/>
      <c r="C31" s="564"/>
      <c r="D31" s="44">
        <v>-99</v>
      </c>
      <c r="E31" s="7" t="s">
        <v>589</v>
      </c>
    </row>
    <row r="32" spans="1:7" ht="24" customHeight="1" x14ac:dyDescent="0.3">
      <c r="A32" s="247" t="s">
        <v>374</v>
      </c>
      <c r="B32" s="240">
        <v>6</v>
      </c>
      <c r="C32" s="564" t="s">
        <v>61</v>
      </c>
      <c r="D32" s="534" t="s">
        <v>553</v>
      </c>
      <c r="E32" s="535"/>
    </row>
    <row r="33" spans="1:5" x14ac:dyDescent="0.3">
      <c r="A33" s="212"/>
      <c r="B33" s="210"/>
      <c r="C33" s="564"/>
      <c r="D33" s="69">
        <v>-98</v>
      </c>
      <c r="E33" s="6" t="s">
        <v>590</v>
      </c>
    </row>
    <row r="34" spans="1:5" x14ac:dyDescent="0.3">
      <c r="A34" s="213"/>
      <c r="B34" s="211"/>
      <c r="C34" s="564"/>
      <c r="D34" s="44">
        <v>-99</v>
      </c>
      <c r="E34" s="7" t="s">
        <v>589</v>
      </c>
    </row>
    <row r="35" spans="1:5" ht="22.5" customHeight="1" x14ac:dyDescent="0.3">
      <c r="A35" s="247" t="s">
        <v>374</v>
      </c>
      <c r="B35" s="240">
        <v>7</v>
      </c>
      <c r="C35" s="564" t="s">
        <v>554</v>
      </c>
      <c r="D35" s="534" t="s">
        <v>230</v>
      </c>
      <c r="E35" s="535"/>
    </row>
    <row r="36" spans="1:5" x14ac:dyDescent="0.3">
      <c r="A36" s="212"/>
      <c r="B36" s="210"/>
      <c r="C36" s="564"/>
      <c r="D36" s="69">
        <v>-98</v>
      </c>
      <c r="E36" s="6" t="s">
        <v>590</v>
      </c>
    </row>
    <row r="37" spans="1:5" x14ac:dyDescent="0.3">
      <c r="A37" s="213"/>
      <c r="B37" s="211"/>
      <c r="C37" s="564"/>
      <c r="D37" s="44">
        <v>-99</v>
      </c>
      <c r="E37" s="7" t="s">
        <v>589</v>
      </c>
    </row>
  </sheetData>
  <mergeCells count="21">
    <mergeCell ref="A2:E2"/>
    <mergeCell ref="C32:C34"/>
    <mergeCell ref="D32:E32"/>
    <mergeCell ref="C35:C37"/>
    <mergeCell ref="D35:E35"/>
    <mergeCell ref="D19:E19"/>
    <mergeCell ref="D20:E20"/>
    <mergeCell ref="C17:C20"/>
    <mergeCell ref="C21:C24"/>
    <mergeCell ref="C25:C31"/>
    <mergeCell ref="D18:E18"/>
    <mergeCell ref="D8:E8"/>
    <mergeCell ref="D6:E6"/>
    <mergeCell ref="A7:E7"/>
    <mergeCell ref="F4:G4"/>
    <mergeCell ref="A5:E5"/>
    <mergeCell ref="D9:E9"/>
    <mergeCell ref="C13:C16"/>
    <mergeCell ref="D17:E17"/>
    <mergeCell ref="A4:B4"/>
    <mergeCell ref="F6:G6"/>
  </mergeCells>
  <phoneticPr fontId="2" type="noConversion"/>
  <pageMargins left="0.7" right="0.7" top="0.75" bottom="0.75" header="0.3" footer="0.3"/>
  <pageSetup scale="85" fitToHeight="0" orientation="portrait" r:id="rId1"/>
  <headerFooter>
    <oddHeader>&amp;LTime Started Section: _______ Time finished section: ________ Notes: ______________________</oddHeader>
  </headerFooter>
  <extLst>
    <ext xmlns:mx="http://schemas.microsoft.com/office/mac/excel/2008/main" uri="http://schemas.microsoft.com/office/mac/excel/2008/main">
      <mx:PLV Mode="1"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L23"/>
  <sheetViews>
    <sheetView view="pageLayout" workbookViewId="0">
      <selection activeCell="H24" sqref="H24"/>
    </sheetView>
  </sheetViews>
  <sheetFormatPr defaultColWidth="8.765625" defaultRowHeight="13.5" x14ac:dyDescent="0.3"/>
  <cols>
    <col min="4" max="4" width="9.23046875" customWidth="1"/>
    <col min="6" max="6" width="9.765625" customWidth="1"/>
    <col min="8" max="8" width="9.4609375" customWidth="1"/>
    <col min="10" max="10" width="9.4609375" customWidth="1"/>
    <col min="12" max="12" width="9.3828125" customWidth="1"/>
  </cols>
  <sheetData>
    <row r="1" spans="1:12" ht="4.5" customHeight="1" x14ac:dyDescent="0.3"/>
    <row r="2" spans="1:12" ht="14.25" customHeight="1" x14ac:dyDescent="0.3">
      <c r="A2" s="391" t="s">
        <v>437</v>
      </c>
      <c r="B2" s="391"/>
      <c r="C2" s="391"/>
      <c r="D2" s="391"/>
      <c r="E2" s="391"/>
      <c r="F2" s="391"/>
      <c r="G2" s="391"/>
      <c r="H2" s="391"/>
      <c r="I2" s="391"/>
      <c r="J2" s="391"/>
      <c r="K2" s="391"/>
      <c r="L2" s="391"/>
    </row>
    <row r="3" spans="1:12" ht="6.75" customHeight="1" x14ac:dyDescent="0.3">
      <c r="A3" s="577"/>
      <c r="B3" s="577"/>
      <c r="C3" s="577"/>
      <c r="D3" s="577"/>
      <c r="E3" s="577"/>
      <c r="F3" s="577"/>
      <c r="G3" s="577"/>
      <c r="H3" s="577"/>
      <c r="I3" s="577"/>
      <c r="J3" s="577"/>
      <c r="K3" s="577"/>
      <c r="L3" s="577"/>
    </row>
    <row r="4" spans="1:12" ht="160.5" customHeight="1" x14ac:dyDescent="0.3">
      <c r="A4" s="392" t="s">
        <v>229</v>
      </c>
      <c r="B4" s="578"/>
      <c r="C4" s="578"/>
      <c r="D4" s="578"/>
      <c r="E4" s="578"/>
      <c r="F4" s="578"/>
      <c r="G4" s="578"/>
      <c r="H4" s="578"/>
      <c r="I4" s="578"/>
      <c r="J4" s="578"/>
      <c r="K4" s="578"/>
      <c r="L4" s="578"/>
    </row>
    <row r="5" spans="1:12" ht="11.25" customHeight="1" x14ac:dyDescent="0.3">
      <c r="A5" s="579"/>
      <c r="B5" s="579"/>
      <c r="C5" s="579"/>
      <c r="D5" s="579"/>
      <c r="E5" s="579"/>
      <c r="F5" s="579"/>
      <c r="G5" s="579"/>
      <c r="H5" s="579"/>
      <c r="I5" s="579"/>
      <c r="J5" s="579"/>
      <c r="K5" s="579"/>
      <c r="L5" s="579"/>
    </row>
    <row r="6" spans="1:12" ht="29.25" customHeight="1" x14ac:dyDescent="0.3">
      <c r="A6" s="347" t="s">
        <v>57</v>
      </c>
      <c r="B6" s="521" t="s">
        <v>58</v>
      </c>
      <c r="C6" s="521"/>
      <c r="D6" s="521"/>
      <c r="E6" s="521"/>
      <c r="F6" s="521"/>
      <c r="G6" s="521"/>
      <c r="H6" s="521" t="s">
        <v>171</v>
      </c>
      <c r="I6" s="521"/>
      <c r="J6" s="341"/>
      <c r="K6" s="341"/>
      <c r="L6" s="341"/>
    </row>
    <row r="7" spans="1:12" ht="11.25" customHeight="1" thickBot="1" x14ac:dyDescent="0.35">
      <c r="A7" s="341"/>
      <c r="B7" s="341"/>
      <c r="C7" s="341"/>
      <c r="D7" s="341"/>
      <c r="E7" s="341"/>
      <c r="F7" s="341"/>
      <c r="G7" s="341"/>
      <c r="H7" s="341"/>
      <c r="I7" s="341"/>
      <c r="J7" s="341"/>
      <c r="K7" s="341"/>
      <c r="L7" s="341"/>
    </row>
    <row r="8" spans="1:12" x14ac:dyDescent="0.3">
      <c r="A8" s="574" t="s">
        <v>326</v>
      </c>
      <c r="B8" s="348" t="s">
        <v>399</v>
      </c>
      <c r="C8" s="574" t="s">
        <v>327</v>
      </c>
      <c r="D8" s="348" t="s">
        <v>399</v>
      </c>
      <c r="E8" s="574" t="s">
        <v>328</v>
      </c>
      <c r="F8" s="348" t="s">
        <v>399</v>
      </c>
      <c r="G8" s="574" t="s">
        <v>329</v>
      </c>
      <c r="H8" s="348" t="s">
        <v>399</v>
      </c>
      <c r="I8" s="574" t="s">
        <v>330</v>
      </c>
      <c r="J8" s="348" t="s">
        <v>399</v>
      </c>
      <c r="K8" s="574" t="s">
        <v>331</v>
      </c>
      <c r="L8" s="348" t="s">
        <v>399</v>
      </c>
    </row>
    <row r="9" spans="1:12" x14ac:dyDescent="0.3">
      <c r="A9" s="575"/>
      <c r="B9" s="297" t="s">
        <v>400</v>
      </c>
      <c r="C9" s="575"/>
      <c r="D9" s="297" t="s">
        <v>400</v>
      </c>
      <c r="E9" s="575"/>
      <c r="F9" s="297" t="s">
        <v>400</v>
      </c>
      <c r="G9" s="575"/>
      <c r="H9" s="297" t="s">
        <v>400</v>
      </c>
      <c r="I9" s="575"/>
      <c r="J9" s="297" t="s">
        <v>400</v>
      </c>
      <c r="K9" s="575"/>
      <c r="L9" s="297" t="s">
        <v>400</v>
      </c>
    </row>
    <row r="10" spans="1:12" x14ac:dyDescent="0.3">
      <c r="A10" s="575"/>
      <c r="B10" s="297" t="s">
        <v>401</v>
      </c>
      <c r="C10" s="575"/>
      <c r="D10" s="297" t="s">
        <v>401</v>
      </c>
      <c r="E10" s="575"/>
      <c r="F10" s="297" t="s">
        <v>401</v>
      </c>
      <c r="G10" s="575"/>
      <c r="H10" s="297" t="s">
        <v>401</v>
      </c>
      <c r="I10" s="575"/>
      <c r="J10" s="297" t="s">
        <v>401</v>
      </c>
      <c r="K10" s="575"/>
      <c r="L10" s="297" t="s">
        <v>401</v>
      </c>
    </row>
    <row r="11" spans="1:12" x14ac:dyDescent="0.3">
      <c r="A11" s="575"/>
      <c r="B11" s="297" t="s">
        <v>402</v>
      </c>
      <c r="C11" s="575"/>
      <c r="D11" s="297" t="s">
        <v>402</v>
      </c>
      <c r="E11" s="575"/>
      <c r="F11" s="297" t="s">
        <v>402</v>
      </c>
      <c r="G11" s="575"/>
      <c r="H11" s="297" t="s">
        <v>402</v>
      </c>
      <c r="I11" s="575"/>
      <c r="J11" s="297" t="s">
        <v>402</v>
      </c>
      <c r="K11" s="575"/>
      <c r="L11" s="297" t="s">
        <v>402</v>
      </c>
    </row>
    <row r="12" spans="1:12" x14ac:dyDescent="0.3">
      <c r="A12" s="575"/>
      <c r="B12" s="297" t="s">
        <v>403</v>
      </c>
      <c r="C12" s="575"/>
      <c r="D12" s="297" t="s">
        <v>403</v>
      </c>
      <c r="E12" s="575"/>
      <c r="F12" s="297" t="s">
        <v>403</v>
      </c>
      <c r="G12" s="575"/>
      <c r="H12" s="297" t="s">
        <v>403</v>
      </c>
      <c r="I12" s="575"/>
      <c r="J12" s="297" t="s">
        <v>403</v>
      </c>
      <c r="K12" s="575"/>
      <c r="L12" s="297" t="s">
        <v>403</v>
      </c>
    </row>
    <row r="13" spans="1:12" x14ac:dyDescent="0.3">
      <c r="A13" s="575"/>
      <c r="B13" s="297" t="s">
        <v>404</v>
      </c>
      <c r="C13" s="575"/>
      <c r="D13" s="297" t="s">
        <v>404</v>
      </c>
      <c r="E13" s="575"/>
      <c r="F13" s="297" t="s">
        <v>404</v>
      </c>
      <c r="G13" s="575"/>
      <c r="H13" s="297" t="s">
        <v>404</v>
      </c>
      <c r="I13" s="575"/>
      <c r="J13" s="297" t="s">
        <v>404</v>
      </c>
      <c r="K13" s="575"/>
      <c r="L13" s="297" t="s">
        <v>404</v>
      </c>
    </row>
    <row r="14" spans="1:12" x14ac:dyDescent="0.3">
      <c r="A14" s="575"/>
      <c r="B14" s="297" t="s">
        <v>288</v>
      </c>
      <c r="C14" s="575"/>
      <c r="D14" s="342" t="s">
        <v>63</v>
      </c>
      <c r="E14" s="575"/>
      <c r="F14" s="342" t="s">
        <v>63</v>
      </c>
      <c r="G14" s="575"/>
      <c r="H14" s="342" t="s">
        <v>63</v>
      </c>
      <c r="I14" s="575"/>
      <c r="J14" s="342" t="s">
        <v>63</v>
      </c>
      <c r="K14" s="575"/>
      <c r="L14" s="342" t="s">
        <v>63</v>
      </c>
    </row>
    <row r="15" spans="1:12" ht="13.5" customHeight="1" thickBot="1" x14ac:dyDescent="0.35">
      <c r="A15" s="576"/>
      <c r="B15" s="298" t="s">
        <v>289</v>
      </c>
      <c r="C15" s="576"/>
      <c r="D15" s="343" t="s">
        <v>64</v>
      </c>
      <c r="E15" s="576"/>
      <c r="F15" s="343" t="s">
        <v>64</v>
      </c>
      <c r="G15" s="576"/>
      <c r="H15" s="343" t="s">
        <v>64</v>
      </c>
      <c r="I15" s="576"/>
      <c r="J15" s="343" t="s">
        <v>64</v>
      </c>
      <c r="K15" s="576"/>
      <c r="L15" s="343" t="s">
        <v>64</v>
      </c>
    </row>
    <row r="16" spans="1:12" x14ac:dyDescent="0.3">
      <c r="A16" s="574" t="s">
        <v>332</v>
      </c>
      <c r="B16" s="297" t="s">
        <v>399</v>
      </c>
      <c r="C16" s="574" t="s">
        <v>333</v>
      </c>
      <c r="D16" s="297" t="s">
        <v>399</v>
      </c>
      <c r="E16" s="574" t="s">
        <v>334</v>
      </c>
      <c r="F16" s="297" t="s">
        <v>399</v>
      </c>
      <c r="G16" s="574" t="s">
        <v>335</v>
      </c>
      <c r="H16" s="297" t="s">
        <v>399</v>
      </c>
      <c r="I16" s="574" t="s">
        <v>336</v>
      </c>
      <c r="J16" s="297" t="s">
        <v>399</v>
      </c>
      <c r="K16" s="574" t="s">
        <v>337</v>
      </c>
      <c r="L16" s="297" t="s">
        <v>399</v>
      </c>
    </row>
    <row r="17" spans="1:12" x14ac:dyDescent="0.3">
      <c r="A17" s="575"/>
      <c r="B17" s="297" t="s">
        <v>400</v>
      </c>
      <c r="C17" s="575"/>
      <c r="D17" s="297" t="s">
        <v>400</v>
      </c>
      <c r="E17" s="575"/>
      <c r="F17" s="297" t="s">
        <v>400</v>
      </c>
      <c r="G17" s="575"/>
      <c r="H17" s="297" t="s">
        <v>400</v>
      </c>
      <c r="I17" s="575"/>
      <c r="J17" s="297" t="s">
        <v>400</v>
      </c>
      <c r="K17" s="575"/>
      <c r="L17" s="297" t="s">
        <v>400</v>
      </c>
    </row>
    <row r="18" spans="1:12" x14ac:dyDescent="0.3">
      <c r="A18" s="575"/>
      <c r="B18" s="297" t="s">
        <v>401</v>
      </c>
      <c r="C18" s="575"/>
      <c r="D18" s="297" t="s">
        <v>401</v>
      </c>
      <c r="E18" s="575"/>
      <c r="F18" s="297" t="s">
        <v>401</v>
      </c>
      <c r="G18" s="575"/>
      <c r="H18" s="297" t="s">
        <v>401</v>
      </c>
      <c r="I18" s="575"/>
      <c r="J18" s="297" t="s">
        <v>401</v>
      </c>
      <c r="K18" s="575"/>
      <c r="L18" s="297" t="s">
        <v>401</v>
      </c>
    </row>
    <row r="19" spans="1:12" x14ac:dyDescent="0.3">
      <c r="A19" s="575"/>
      <c r="B19" s="297" t="s">
        <v>402</v>
      </c>
      <c r="C19" s="575"/>
      <c r="D19" s="297" t="s">
        <v>402</v>
      </c>
      <c r="E19" s="575"/>
      <c r="F19" s="297" t="s">
        <v>402</v>
      </c>
      <c r="G19" s="575"/>
      <c r="H19" s="297" t="s">
        <v>402</v>
      </c>
      <c r="I19" s="575"/>
      <c r="J19" s="297" t="s">
        <v>402</v>
      </c>
      <c r="K19" s="575"/>
      <c r="L19" s="297" t="s">
        <v>402</v>
      </c>
    </row>
    <row r="20" spans="1:12" x14ac:dyDescent="0.3">
      <c r="A20" s="575"/>
      <c r="B20" s="297" t="s">
        <v>403</v>
      </c>
      <c r="C20" s="575"/>
      <c r="D20" s="297" t="s">
        <v>403</v>
      </c>
      <c r="E20" s="575"/>
      <c r="F20" s="297" t="s">
        <v>403</v>
      </c>
      <c r="G20" s="575"/>
      <c r="H20" s="297" t="s">
        <v>403</v>
      </c>
      <c r="I20" s="575"/>
      <c r="J20" s="297" t="s">
        <v>403</v>
      </c>
      <c r="K20" s="575"/>
      <c r="L20" s="297" t="s">
        <v>403</v>
      </c>
    </row>
    <row r="21" spans="1:12" x14ac:dyDescent="0.3">
      <c r="A21" s="575"/>
      <c r="B21" s="297" t="s">
        <v>404</v>
      </c>
      <c r="C21" s="575"/>
      <c r="D21" s="297" t="s">
        <v>404</v>
      </c>
      <c r="E21" s="575"/>
      <c r="F21" s="297" t="s">
        <v>404</v>
      </c>
      <c r="G21" s="575"/>
      <c r="H21" s="297" t="s">
        <v>404</v>
      </c>
      <c r="I21" s="575"/>
      <c r="J21" s="297" t="s">
        <v>404</v>
      </c>
      <c r="K21" s="575"/>
      <c r="L21" s="297" t="s">
        <v>404</v>
      </c>
    </row>
    <row r="22" spans="1:12" x14ac:dyDescent="0.3">
      <c r="A22" s="575"/>
      <c r="B22" s="297" t="s">
        <v>288</v>
      </c>
      <c r="C22" s="575"/>
      <c r="D22" s="342" t="s">
        <v>63</v>
      </c>
      <c r="E22" s="575"/>
      <c r="F22" s="342" t="s">
        <v>63</v>
      </c>
      <c r="G22" s="575"/>
      <c r="H22" s="342" t="s">
        <v>63</v>
      </c>
      <c r="I22" s="575"/>
      <c r="J22" s="342" t="s">
        <v>63</v>
      </c>
      <c r="K22" s="575"/>
      <c r="L22" s="342" t="s">
        <v>63</v>
      </c>
    </row>
    <row r="23" spans="1:12" ht="15" customHeight="1" thickBot="1" x14ac:dyDescent="0.35">
      <c r="A23" s="576"/>
      <c r="B23" s="298" t="s">
        <v>289</v>
      </c>
      <c r="C23" s="576"/>
      <c r="D23" s="343" t="s">
        <v>64</v>
      </c>
      <c r="E23" s="576"/>
      <c r="F23" s="343" t="s">
        <v>64</v>
      </c>
      <c r="G23" s="576"/>
      <c r="H23" s="343" t="s">
        <v>64</v>
      </c>
      <c r="I23" s="576"/>
      <c r="J23" s="343" t="s">
        <v>64</v>
      </c>
      <c r="K23" s="576"/>
      <c r="L23" s="343" t="s">
        <v>64</v>
      </c>
    </row>
  </sheetData>
  <mergeCells count="18">
    <mergeCell ref="B6:G6"/>
    <mergeCell ref="E16:E23"/>
    <mergeCell ref="G16:G23"/>
    <mergeCell ref="I16:I23"/>
    <mergeCell ref="A2:L2"/>
    <mergeCell ref="A3:L3"/>
    <mergeCell ref="A4:L4"/>
    <mergeCell ref="A5:L5"/>
    <mergeCell ref="K16:K23"/>
    <mergeCell ref="A8:A15"/>
    <mergeCell ref="C8:C15"/>
    <mergeCell ref="E8:E15"/>
    <mergeCell ref="G8:G15"/>
    <mergeCell ref="I8:I15"/>
    <mergeCell ref="K8:K15"/>
    <mergeCell ref="A16:A23"/>
    <mergeCell ref="C16:C23"/>
    <mergeCell ref="H6:I6"/>
  </mergeCells>
  <phoneticPr fontId="2" type="noConversion"/>
  <pageMargins left="0.7" right="0.7" top="0.75" bottom="0.75" header="0.3" footer="0.3"/>
  <pageSetup scale="98" orientation="landscape" r:id="rId1"/>
  <extLst>
    <ext xmlns:mx="http://schemas.microsoft.com/office/mac/excel/2008/main" uri="http://schemas.microsoft.com/office/mac/excel/2008/main">
      <mx:PLV Mode="1"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33"/>
  <sheetViews>
    <sheetView view="pageLayout" topLeftCell="A10" workbookViewId="0">
      <selection activeCell="E11" sqref="E11:G11"/>
    </sheetView>
  </sheetViews>
  <sheetFormatPr defaultColWidth="8.765625" defaultRowHeight="13.5" x14ac:dyDescent="0.3"/>
  <cols>
    <col min="1" max="1" width="2" bestFit="1" customWidth="1"/>
    <col min="2" max="2" width="3.3828125" style="97" bestFit="1" customWidth="1"/>
    <col min="3" max="3" width="30.23046875" customWidth="1"/>
    <col min="4" max="4" width="4.23046875" customWidth="1"/>
    <col min="5" max="5" width="19.61328125" customWidth="1"/>
    <col min="6" max="6" width="20.3828125" customWidth="1"/>
    <col min="7" max="7" width="15.61328125" customWidth="1"/>
    <col min="8" max="8" width="2.61328125" customWidth="1"/>
    <col min="9" max="9" width="2.765625" bestFit="1" customWidth="1"/>
  </cols>
  <sheetData>
    <row r="1" spans="1:9" ht="14.25" customHeight="1" x14ac:dyDescent="0.3">
      <c r="B1" s="391" t="s">
        <v>438</v>
      </c>
      <c r="C1" s="391"/>
      <c r="D1" s="391"/>
      <c r="E1" s="391"/>
      <c r="F1" s="391"/>
      <c r="G1" s="391"/>
      <c r="H1" s="391"/>
      <c r="I1" s="391"/>
    </row>
    <row r="2" spans="1:9" ht="14.25" customHeight="1" x14ac:dyDescent="0.3">
      <c r="B2" s="174"/>
      <c r="C2" s="174"/>
      <c r="D2" s="174"/>
      <c r="E2" s="174"/>
      <c r="F2" s="174"/>
      <c r="G2" s="174"/>
      <c r="H2" s="174"/>
      <c r="I2" s="174"/>
    </row>
    <row r="3" spans="1:9" ht="24.75" customHeight="1" x14ac:dyDescent="0.3">
      <c r="A3" s="392" t="s">
        <v>275</v>
      </c>
      <c r="B3" s="392"/>
      <c r="C3" s="392"/>
      <c r="D3" s="392"/>
      <c r="E3" s="392"/>
      <c r="F3" s="392"/>
      <c r="G3" s="392"/>
      <c r="H3" s="174"/>
      <c r="I3" s="174"/>
    </row>
    <row r="4" spans="1:9" ht="12.75" customHeight="1" x14ac:dyDescent="0.3">
      <c r="B4" s="600"/>
      <c r="C4" s="600"/>
      <c r="D4" s="600"/>
      <c r="E4" s="600"/>
      <c r="F4" s="600"/>
      <c r="G4" s="600"/>
      <c r="H4" s="600"/>
      <c r="I4" s="600"/>
    </row>
    <row r="5" spans="1:9" x14ac:dyDescent="0.3">
      <c r="A5" s="602" t="s">
        <v>642</v>
      </c>
      <c r="B5" s="603"/>
      <c r="C5" s="43" t="s">
        <v>663</v>
      </c>
      <c r="D5" s="394" t="s">
        <v>647</v>
      </c>
      <c r="E5" s="395"/>
      <c r="F5" s="43"/>
      <c r="G5" s="43"/>
      <c r="H5" s="414" t="s">
        <v>648</v>
      </c>
      <c r="I5" s="415"/>
    </row>
    <row r="6" spans="1:9" ht="42" customHeight="1" x14ac:dyDescent="0.3">
      <c r="A6" s="192" t="s">
        <v>375</v>
      </c>
      <c r="B6" s="252">
        <v>1</v>
      </c>
      <c r="C6" s="82" t="s">
        <v>70</v>
      </c>
      <c r="D6" s="83"/>
      <c r="E6" s="601" t="s">
        <v>69</v>
      </c>
      <c r="F6" s="601"/>
      <c r="G6" s="386"/>
      <c r="H6" s="88"/>
      <c r="I6" s="81"/>
    </row>
    <row r="7" spans="1:9" ht="12.75" customHeight="1" x14ac:dyDescent="0.3">
      <c r="A7" s="583" t="s">
        <v>375</v>
      </c>
      <c r="B7" s="583">
        <f>B6+1</f>
        <v>2</v>
      </c>
      <c r="C7" s="588" t="s">
        <v>601</v>
      </c>
      <c r="D7" s="54">
        <v>1</v>
      </c>
      <c r="E7" s="447" t="s">
        <v>313</v>
      </c>
      <c r="F7" s="447"/>
      <c r="G7" s="447"/>
      <c r="H7" s="72"/>
      <c r="I7" s="84"/>
    </row>
    <row r="8" spans="1:9" ht="13.5" customHeight="1" x14ac:dyDescent="0.3">
      <c r="A8" s="584"/>
      <c r="B8" s="584"/>
      <c r="C8" s="589"/>
      <c r="D8" s="44">
        <v>2</v>
      </c>
      <c r="E8" s="489" t="s">
        <v>650</v>
      </c>
      <c r="F8" s="489"/>
      <c r="G8" s="489"/>
      <c r="H8" s="77"/>
      <c r="I8" s="85"/>
    </row>
    <row r="9" spans="1:9" x14ac:dyDescent="0.3">
      <c r="A9" s="580" t="s">
        <v>375</v>
      </c>
      <c r="B9" s="580">
        <f>B7+1</f>
        <v>3</v>
      </c>
      <c r="C9" s="371" t="s">
        <v>609</v>
      </c>
      <c r="D9" s="54">
        <v>1</v>
      </c>
      <c r="E9" s="447" t="s">
        <v>209</v>
      </c>
      <c r="F9" s="447"/>
      <c r="G9" s="448"/>
      <c r="H9" s="93"/>
      <c r="I9" s="94"/>
    </row>
    <row r="10" spans="1:9" x14ac:dyDescent="0.3">
      <c r="A10" s="581"/>
      <c r="B10" s="581"/>
      <c r="C10" s="372"/>
      <c r="D10" s="69">
        <f>D9+1</f>
        <v>2</v>
      </c>
      <c r="E10" s="425" t="s">
        <v>426</v>
      </c>
      <c r="F10" s="425"/>
      <c r="G10" s="482"/>
      <c r="H10" s="95"/>
      <c r="I10" s="38"/>
    </row>
    <row r="11" spans="1:9" ht="31.5" customHeight="1" x14ac:dyDescent="0.3">
      <c r="A11" s="582"/>
      <c r="B11" s="582"/>
      <c r="C11" s="384"/>
      <c r="D11" s="44">
        <f t="shared" ref="D11" si="0">D10+1</f>
        <v>3</v>
      </c>
      <c r="E11" s="489" t="s">
        <v>608</v>
      </c>
      <c r="F11" s="489"/>
      <c r="G11" s="516"/>
      <c r="H11" s="56"/>
      <c r="I11" s="57"/>
    </row>
    <row r="12" spans="1:9" x14ac:dyDescent="0.3">
      <c r="A12" s="580" t="s">
        <v>375</v>
      </c>
      <c r="B12" s="580">
        <f>B9+1</f>
        <v>4</v>
      </c>
      <c r="C12" s="371" t="s">
        <v>610</v>
      </c>
      <c r="D12" s="54">
        <v>1</v>
      </c>
      <c r="E12" s="447" t="s">
        <v>611</v>
      </c>
      <c r="F12" s="447"/>
      <c r="G12" s="448"/>
      <c r="H12" s="93"/>
      <c r="I12" s="94"/>
    </row>
    <row r="13" spans="1:9" x14ac:dyDescent="0.3">
      <c r="A13" s="581"/>
      <c r="B13" s="581"/>
      <c r="C13" s="372"/>
      <c r="D13" s="69">
        <f>D12+1</f>
        <v>2</v>
      </c>
      <c r="E13" s="425" t="s">
        <v>612</v>
      </c>
      <c r="F13" s="425"/>
      <c r="G13" s="482"/>
      <c r="H13" s="95"/>
      <c r="I13" s="38"/>
    </row>
    <row r="14" spans="1:9" x14ac:dyDescent="0.3">
      <c r="A14" s="581"/>
      <c r="B14" s="581"/>
      <c r="C14" s="372"/>
      <c r="D14" s="69">
        <f t="shared" ref="D14:D15" si="1">D13+1</f>
        <v>3</v>
      </c>
      <c r="E14" s="425" t="s">
        <v>613</v>
      </c>
      <c r="F14" s="425"/>
      <c r="G14" s="482"/>
      <c r="H14" s="95"/>
      <c r="I14" s="38"/>
    </row>
    <row r="15" spans="1:9" ht="14" thickBot="1" x14ac:dyDescent="0.35">
      <c r="A15" s="582"/>
      <c r="B15" s="582"/>
      <c r="C15" s="384"/>
      <c r="D15" s="44">
        <f t="shared" si="1"/>
        <v>4</v>
      </c>
      <c r="E15" s="489" t="s">
        <v>614</v>
      </c>
      <c r="F15" s="489"/>
      <c r="G15" s="516"/>
      <c r="H15" s="56"/>
      <c r="I15" s="57"/>
    </row>
    <row r="16" spans="1:9" x14ac:dyDescent="0.3">
      <c r="A16" s="580" t="s">
        <v>375</v>
      </c>
      <c r="B16" s="580">
        <f>B12+1</f>
        <v>5</v>
      </c>
      <c r="C16" s="595" t="s">
        <v>615</v>
      </c>
      <c r="D16" s="54">
        <v>1</v>
      </c>
      <c r="E16" s="447" t="s">
        <v>616</v>
      </c>
      <c r="F16" s="447"/>
      <c r="G16" s="448"/>
      <c r="H16" s="93"/>
      <c r="I16" s="94"/>
    </row>
    <row r="17" spans="1:9" x14ac:dyDescent="0.3">
      <c r="A17" s="581"/>
      <c r="B17" s="581"/>
      <c r="C17" s="596"/>
      <c r="D17" s="69">
        <f>D16+1</f>
        <v>2</v>
      </c>
      <c r="E17" s="425" t="s">
        <v>617</v>
      </c>
      <c r="F17" s="425"/>
      <c r="G17" s="482"/>
      <c r="H17" s="95"/>
      <c r="I17" s="38"/>
    </row>
    <row r="18" spans="1:9" ht="12.75" customHeight="1" x14ac:dyDescent="0.3">
      <c r="A18" s="581"/>
      <c r="B18" s="581"/>
      <c r="C18" s="596"/>
      <c r="D18" s="69">
        <f t="shared" ref="D18:D19" si="2">D17+1</f>
        <v>3</v>
      </c>
      <c r="E18" s="425" t="s">
        <v>618</v>
      </c>
      <c r="F18" s="425"/>
      <c r="G18" s="482"/>
      <c r="H18" s="95"/>
      <c r="I18" s="38"/>
    </row>
    <row r="19" spans="1:9" ht="12.75" customHeight="1" thickBot="1" x14ac:dyDescent="0.35">
      <c r="A19" s="582"/>
      <c r="B19" s="582"/>
      <c r="C19" s="597"/>
      <c r="D19" s="44">
        <f t="shared" si="2"/>
        <v>4</v>
      </c>
      <c r="E19" s="489" t="s">
        <v>619</v>
      </c>
      <c r="F19" s="489"/>
      <c r="G19" s="516"/>
      <c r="H19" s="56"/>
      <c r="I19" s="57"/>
    </row>
    <row r="20" spans="1:9" ht="12.75" customHeight="1" x14ac:dyDescent="0.3">
      <c r="A20" s="580" t="s">
        <v>375</v>
      </c>
      <c r="B20" s="580">
        <f>B16+1</f>
        <v>6</v>
      </c>
      <c r="C20" s="595" t="s">
        <v>621</v>
      </c>
      <c r="D20" s="54">
        <v>1</v>
      </c>
      <c r="E20" s="447" t="s">
        <v>625</v>
      </c>
      <c r="F20" s="447"/>
      <c r="G20" s="448"/>
      <c r="H20" s="93"/>
      <c r="I20" s="94"/>
    </row>
    <row r="21" spans="1:9" ht="12.75" customHeight="1" x14ac:dyDescent="0.3">
      <c r="A21" s="581"/>
      <c r="B21" s="581"/>
      <c r="C21" s="372"/>
      <c r="D21" s="69">
        <f>D20+1</f>
        <v>2</v>
      </c>
      <c r="E21" s="425" t="s">
        <v>624</v>
      </c>
      <c r="F21" s="425"/>
      <c r="G21" s="482"/>
      <c r="H21" s="95"/>
      <c r="I21" s="38"/>
    </row>
    <row r="22" spans="1:9" ht="12.75" customHeight="1" x14ac:dyDescent="0.3">
      <c r="A22" s="581"/>
      <c r="B22" s="581"/>
      <c r="C22" s="372"/>
      <c r="D22" s="69">
        <f>D21+1</f>
        <v>3</v>
      </c>
      <c r="E22" s="425" t="s">
        <v>623</v>
      </c>
      <c r="F22" s="425"/>
      <c r="G22" s="482"/>
      <c r="H22" s="95"/>
      <c r="I22" s="38"/>
    </row>
    <row r="23" spans="1:9" ht="12.75" customHeight="1" x14ac:dyDescent="0.3">
      <c r="A23" s="581"/>
      <c r="B23" s="581"/>
      <c r="C23" s="372"/>
      <c r="D23" s="69">
        <f>D22+1</f>
        <v>4</v>
      </c>
      <c r="E23" s="425" t="s">
        <v>626</v>
      </c>
      <c r="F23" s="425"/>
      <c r="G23" s="482"/>
      <c r="H23" s="95"/>
      <c r="I23" s="38"/>
    </row>
    <row r="24" spans="1:9" ht="15" customHeight="1" x14ac:dyDescent="0.3">
      <c r="A24" s="582"/>
      <c r="B24" s="582"/>
      <c r="C24" s="384"/>
      <c r="D24" s="44">
        <f>D23+1</f>
        <v>5</v>
      </c>
      <c r="E24" s="489" t="s">
        <v>622</v>
      </c>
      <c r="F24" s="489"/>
      <c r="G24" s="516"/>
      <c r="H24" s="56"/>
      <c r="I24" s="57"/>
    </row>
    <row r="25" spans="1:9" x14ac:dyDescent="0.3">
      <c r="A25" s="581" t="s">
        <v>375</v>
      </c>
      <c r="B25" s="593">
        <f>B20+1</f>
        <v>7</v>
      </c>
      <c r="C25" s="598" t="s">
        <v>59</v>
      </c>
      <c r="D25" s="80">
        <v>1</v>
      </c>
      <c r="E25" s="425" t="s">
        <v>650</v>
      </c>
      <c r="F25" s="425"/>
      <c r="G25" s="482"/>
      <c r="H25" s="32" t="s">
        <v>667</v>
      </c>
      <c r="I25" s="96">
        <f>B32</f>
        <v>9</v>
      </c>
    </row>
    <row r="26" spans="1:9" x14ac:dyDescent="0.3">
      <c r="A26" s="581"/>
      <c r="B26" s="593"/>
      <c r="C26" s="598"/>
      <c r="D26" s="80">
        <v>2</v>
      </c>
      <c r="E26" s="425" t="s">
        <v>427</v>
      </c>
      <c r="F26" s="425"/>
      <c r="G26" s="482"/>
      <c r="H26" s="76"/>
      <c r="I26" s="61"/>
    </row>
    <row r="27" spans="1:9" x14ac:dyDescent="0.3">
      <c r="A27" s="581"/>
      <c r="B27" s="593"/>
      <c r="C27" s="598"/>
      <c r="D27" s="80">
        <v>3</v>
      </c>
      <c r="E27" s="1" t="s">
        <v>312</v>
      </c>
      <c r="F27" s="1"/>
      <c r="G27" s="6"/>
      <c r="H27" s="76"/>
      <c r="I27" s="61"/>
    </row>
    <row r="28" spans="1:9" x14ac:dyDescent="0.3">
      <c r="A28" s="581"/>
      <c r="B28" s="593"/>
      <c r="C28" s="598"/>
      <c r="D28" s="80">
        <v>4</v>
      </c>
      <c r="E28" s="1" t="s">
        <v>428</v>
      </c>
      <c r="F28" s="1"/>
      <c r="G28" s="6"/>
      <c r="H28" s="76"/>
      <c r="I28" s="61"/>
    </row>
    <row r="29" spans="1:9" x14ac:dyDescent="0.3">
      <c r="A29" s="581"/>
      <c r="B29" s="593"/>
      <c r="C29" s="598"/>
      <c r="D29" s="80">
        <v>5</v>
      </c>
      <c r="E29" s="1" t="s">
        <v>429</v>
      </c>
      <c r="F29" s="1"/>
      <c r="G29" s="6"/>
      <c r="H29" s="76"/>
      <c r="I29" s="61"/>
    </row>
    <row r="30" spans="1:9" x14ac:dyDescent="0.3">
      <c r="A30" s="582"/>
      <c r="B30" s="594"/>
      <c r="C30" s="599"/>
      <c r="D30" s="18">
        <v>-96</v>
      </c>
      <c r="E30" s="529" t="s">
        <v>430</v>
      </c>
      <c r="F30" s="529"/>
      <c r="G30" s="530"/>
      <c r="H30" s="32"/>
      <c r="I30" s="96"/>
    </row>
    <row r="31" spans="1:9" ht="60" customHeight="1" x14ac:dyDescent="0.3">
      <c r="A31" s="192" t="s">
        <v>375</v>
      </c>
      <c r="B31" s="192">
        <f>B25+1</f>
        <v>8</v>
      </c>
      <c r="C31" s="5" t="s">
        <v>602</v>
      </c>
      <c r="D31" s="590"/>
      <c r="E31" s="591"/>
      <c r="F31" s="591"/>
      <c r="G31" s="592"/>
      <c r="H31" s="85"/>
      <c r="I31" s="85"/>
    </row>
    <row r="32" spans="1:9" ht="74.25" customHeight="1" x14ac:dyDescent="0.3">
      <c r="A32" s="192" t="s">
        <v>375</v>
      </c>
      <c r="B32" s="192">
        <f>B31+1</f>
        <v>9</v>
      </c>
      <c r="C32" s="5" t="s">
        <v>620</v>
      </c>
      <c r="D32" s="590"/>
      <c r="E32" s="591"/>
      <c r="F32" s="591"/>
      <c r="G32" s="592"/>
      <c r="H32" s="85"/>
      <c r="I32" s="85"/>
    </row>
    <row r="33" spans="1:9" ht="40.5" customHeight="1" x14ac:dyDescent="0.3">
      <c r="A33" s="192" t="s">
        <v>276</v>
      </c>
      <c r="B33" s="192">
        <f>B32+1</f>
        <v>10</v>
      </c>
      <c r="C33" s="5" t="s">
        <v>506</v>
      </c>
      <c r="D33" s="585" t="s">
        <v>505</v>
      </c>
      <c r="E33" s="586"/>
      <c r="F33" s="586"/>
      <c r="G33" s="587"/>
      <c r="H33" s="85"/>
      <c r="I33" s="85"/>
    </row>
  </sheetData>
  <mergeCells count="49">
    <mergeCell ref="B1:I1"/>
    <mergeCell ref="E11:G11"/>
    <mergeCell ref="E9:G9"/>
    <mergeCell ref="E10:G10"/>
    <mergeCell ref="C9:C11"/>
    <mergeCell ref="B9:B11"/>
    <mergeCell ref="B4:I4"/>
    <mergeCell ref="D5:E5"/>
    <mergeCell ref="H5:I5"/>
    <mergeCell ref="E6:G6"/>
    <mergeCell ref="E7:G7"/>
    <mergeCell ref="A3:G3"/>
    <mergeCell ref="A9:A11"/>
    <mergeCell ref="B7:B8"/>
    <mergeCell ref="A5:B5"/>
    <mergeCell ref="A25:A30"/>
    <mergeCell ref="A20:A24"/>
    <mergeCell ref="E22:G22"/>
    <mergeCell ref="B25:B30"/>
    <mergeCell ref="E17:G17"/>
    <mergeCell ref="B20:B24"/>
    <mergeCell ref="E18:G18"/>
    <mergeCell ref="C20:C24"/>
    <mergeCell ref="C16:C19"/>
    <mergeCell ref="E30:G30"/>
    <mergeCell ref="E25:G25"/>
    <mergeCell ref="C25:C30"/>
    <mergeCell ref="E19:G19"/>
    <mergeCell ref="E23:G23"/>
    <mergeCell ref="E24:G24"/>
    <mergeCell ref="E20:G20"/>
    <mergeCell ref="E26:G26"/>
    <mergeCell ref="E8:G8"/>
    <mergeCell ref="D33:G33"/>
    <mergeCell ref="C7:C8"/>
    <mergeCell ref="C12:C15"/>
    <mergeCell ref="E12:G12"/>
    <mergeCell ref="E13:G13"/>
    <mergeCell ref="E14:G14"/>
    <mergeCell ref="E15:G15"/>
    <mergeCell ref="E16:G16"/>
    <mergeCell ref="D32:G32"/>
    <mergeCell ref="D31:G31"/>
    <mergeCell ref="E21:G21"/>
    <mergeCell ref="B16:B19"/>
    <mergeCell ref="A12:A15"/>
    <mergeCell ref="A16:A19"/>
    <mergeCell ref="B12:B15"/>
    <mergeCell ref="A7:A8"/>
  </mergeCells>
  <phoneticPr fontId="2" type="noConversion"/>
  <pageMargins left="0.7" right="0.7" top="0.75" bottom="0.75" header="0.3" footer="0.3"/>
  <pageSetup scale="79" fitToHeight="0" orientation="portrait" r:id="rId1"/>
  <extLst>
    <ext xmlns:mx="http://schemas.microsoft.com/office/mac/excel/2008/main" uri="http://schemas.microsoft.com/office/mac/excel/2008/main">
      <mx:PLV Mode="1"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Intro</vt:lpstr>
      <vt:lpstr>Basic Info</vt:lpstr>
      <vt:lpstr>Ed-Lit</vt:lpstr>
      <vt:lpstr>HH Info</vt:lpstr>
      <vt:lpstr>HH Child Roster</vt:lpstr>
      <vt:lpstr>HH Resources</vt:lpstr>
      <vt:lpstr>Numeracy</vt:lpstr>
      <vt:lpstr>Income</vt:lpstr>
      <vt:lpstr>Time Use</vt:lpstr>
      <vt:lpstr>Savings and Loans</vt:lpstr>
      <vt:lpstr>Food Security</vt:lpstr>
      <vt:lpstr>Social Capital</vt:lpstr>
      <vt:lpstr>Soc Cap 2</vt:lpstr>
      <vt:lpstr>Sexual Activity</vt:lpstr>
      <vt:lpstr>Raven's Test</vt:lpstr>
      <vt:lpstr>Wrap-up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Gean Spektor</dc:creator>
  <cp:lastModifiedBy>Pamela Jakiela</cp:lastModifiedBy>
  <cp:lastPrinted>2013-10-31T06:17:05Z</cp:lastPrinted>
  <dcterms:created xsi:type="dcterms:W3CDTF">2009-03-30T12:58:36Z</dcterms:created>
  <dcterms:modified xsi:type="dcterms:W3CDTF">2026-01-30T15:27:31Z</dcterms:modified>
</cp:coreProperties>
</file>