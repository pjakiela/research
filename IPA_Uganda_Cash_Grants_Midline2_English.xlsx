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pjaki\Dropbox\TASO\Instruments\posted\"/>
    </mc:Choice>
  </mc:AlternateContent>
  <xr:revisionPtr revIDLastSave="0" documentId="13_ncr:1_{996BCF16-9EB4-43BE-A783-64892F2E4EF5}" xr6:coauthVersionLast="47" xr6:coauthVersionMax="47" xr10:uidLastSave="{00000000-0000-0000-0000-000000000000}"/>
  <bookViews>
    <workbookView xWindow="-10540" yWindow="-20040" windowWidth="27000" windowHeight="18460" firstSheet="8" activeTab="12" xr2:uid="{00000000-000D-0000-FFFF-FFFF00000000}"/>
  </bookViews>
  <sheets>
    <sheet name="A. Introduction" sheetId="16" r:id="rId1"/>
    <sheet name="B. Basic Info" sheetId="18" r:id="rId2"/>
    <sheet name="C. Food Expenditure" sheetId="15" r:id="rId3"/>
    <sheet name="D. Non-food Expenditure." sheetId="30" r:id="rId4"/>
    <sheet name="G. Income" sheetId="20" r:id="rId5"/>
    <sheet name="E. Business expenditure" sheetId="3" r:id="rId6"/>
    <sheet name="H. Time use" sheetId="21" r:id="rId7"/>
    <sheet name="I-K. Savings &amp; Transfers" sheetId="6" r:id="rId8"/>
    <sheet name="I-L. Borrowing." sheetId="32" r:id="rId9"/>
    <sheet name="M. Lending." sheetId="33" r:id="rId10"/>
    <sheet name="J. Food Security" sheetId="9" r:id="rId11"/>
    <sheet name="O.Kesslers Scale " sheetId="34" r:id="rId12"/>
    <sheet name="N. Wrap-up" sheetId="19"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9" l="1"/>
  <c r="D20" i="19" s="1"/>
  <c r="D21" i="19" s="1"/>
  <c r="D22" i="19" s="1"/>
  <c r="D15" i="19"/>
  <c r="D16" i="19" s="1"/>
  <c r="D17" i="19" s="1"/>
  <c r="D11" i="19"/>
  <c r="D12" i="19" s="1"/>
  <c r="D13" i="19" s="1"/>
  <c r="D8" i="19"/>
  <c r="D9" i="19" s="1"/>
  <c r="B6" i="19"/>
  <c r="B7" i="19" s="1"/>
  <c r="B10" i="19" s="1"/>
  <c r="B14" i="19" s="1"/>
  <c r="B18" i="19" s="1"/>
  <c r="B23" i="19" s="1"/>
  <c r="B29" i="19" s="1"/>
  <c r="B30" i="19" s="1"/>
  <c r="B31" i="19" l="1"/>
  <c r="I23" i="19"/>
  <c r="D61" i="34"/>
  <c r="D62" i="34" s="1"/>
  <c r="D63" i="34" s="1"/>
  <c r="D64" i="34" s="1"/>
  <c r="D55" i="34"/>
  <c r="D56" i="34" s="1"/>
  <c r="D57" i="34" s="1"/>
  <c r="D58" i="34" s="1"/>
  <c r="D50" i="34"/>
  <c r="D51" i="34" s="1"/>
  <c r="D52" i="34" s="1"/>
  <c r="D49" i="34"/>
  <c r="D43" i="34"/>
  <c r="D44" i="34" s="1"/>
  <c r="D45" i="34" s="1"/>
  <c r="D46" i="34" s="1"/>
  <c r="D37" i="34"/>
  <c r="D38" i="34" s="1"/>
  <c r="D39" i="34" s="1"/>
  <c r="D40" i="34" s="1"/>
  <c r="D31" i="34"/>
  <c r="D32" i="34" s="1"/>
  <c r="D33" i="34" s="1"/>
  <c r="D34" i="34" s="1"/>
  <c r="D25" i="34"/>
  <c r="D26" i="34" s="1"/>
  <c r="D27" i="34" s="1"/>
  <c r="D28" i="34" s="1"/>
  <c r="D19" i="34"/>
  <c r="D20" i="34" s="1"/>
  <c r="D21" i="34" s="1"/>
  <c r="D22" i="34" s="1"/>
  <c r="D13" i="34"/>
  <c r="D14" i="34" s="1"/>
  <c r="D15" i="34" s="1"/>
  <c r="D16" i="34" s="1"/>
  <c r="B12" i="34"/>
  <c r="B18" i="34" s="1"/>
  <c r="B24" i="34" s="1"/>
  <c r="D7" i="34"/>
  <c r="D8" i="34" s="1"/>
  <c r="D9" i="34" s="1"/>
  <c r="D10" i="34" s="1"/>
  <c r="G12" i="34" l="1"/>
  <c r="B30" i="34"/>
  <c r="B36" i="34" s="1"/>
  <c r="B42" i="34" s="1"/>
  <c r="G30" i="34" l="1"/>
  <c r="B48" i="34"/>
  <c r="B54" i="34" s="1"/>
  <c r="B60" i="34" s="1"/>
  <c r="B12" i="33" l="1"/>
  <c r="B32" i="33" s="1"/>
  <c r="B33" i="33" s="1"/>
  <c r="B37" i="33" s="1"/>
  <c r="D54" i="32"/>
  <c r="D55" i="32" s="1"/>
  <c r="D56" i="32" s="1"/>
  <c r="D57" i="32" s="1"/>
  <c r="D58" i="32" s="1"/>
  <c r="D59" i="32" s="1"/>
  <c r="D29" i="32"/>
  <c r="D30" i="32" s="1"/>
  <c r="D31" i="32" s="1"/>
  <c r="D32" i="32" s="1"/>
  <c r="D33" i="32" s="1"/>
  <c r="D34" i="32" s="1"/>
  <c r="D35" i="32" s="1"/>
  <c r="D36" i="32" s="1"/>
  <c r="D37" i="32" s="1"/>
  <c r="D38" i="32" s="1"/>
  <c r="D39" i="32" s="1"/>
  <c r="D40" i="32" s="1"/>
  <c r="D41" i="32" s="1"/>
  <c r="D42" i="32" s="1"/>
  <c r="D43" i="32" s="1"/>
  <c r="D44" i="32" s="1"/>
  <c r="D45" i="32" s="1"/>
  <c r="D46" i="32" s="1"/>
  <c r="B27" i="32"/>
  <c r="B28" i="32" s="1"/>
  <c r="B48" i="32" s="1"/>
  <c r="B49" i="32" s="1"/>
  <c r="B53" i="32" s="1"/>
  <c r="B66" i="32" s="1"/>
  <c r="B70" i="32" s="1"/>
  <c r="B71" i="32" s="1"/>
  <c r="G16" i="32"/>
  <c r="B5" i="32"/>
  <c r="B6" i="32" s="1"/>
  <c r="B7" i="32" s="1"/>
  <c r="B8" i="32" s="1"/>
  <c r="B9" i="32" s="1"/>
  <c r="B10" i="32" s="1"/>
  <c r="B11" i="32" s="1"/>
  <c r="B14" i="32" s="1"/>
  <c r="B15" i="32" s="1"/>
  <c r="B17" i="32" s="1"/>
  <c r="D129" i="30"/>
  <c r="D130" i="30" s="1"/>
  <c r="D131" i="30" s="1"/>
  <c r="D132" i="30" s="1"/>
  <c r="D133" i="30" s="1"/>
  <c r="D134" i="30" s="1"/>
  <c r="D135" i="30" s="1"/>
  <c r="D136" i="30" s="1"/>
  <c r="D137" i="30" s="1"/>
  <c r="D138" i="30" s="1"/>
  <c r="D117" i="30"/>
  <c r="D118" i="30" s="1"/>
  <c r="D119" i="30" s="1"/>
  <c r="D120" i="30" s="1"/>
  <c r="D121" i="30" s="1"/>
  <c r="D122" i="30" s="1"/>
  <c r="D101" i="30"/>
  <c r="D102" i="30" s="1"/>
  <c r="D103" i="30" s="1"/>
  <c r="D104" i="30" s="1"/>
  <c r="D105" i="30" s="1"/>
  <c r="D106" i="30" s="1"/>
  <c r="B100" i="30"/>
  <c r="B112" i="30" s="1"/>
  <c r="B116" i="30" s="1"/>
  <c r="B128" i="30" s="1"/>
  <c r="B143" i="30" s="1"/>
  <c r="B147" i="30" s="1"/>
  <c r="B151" i="30" s="1"/>
  <c r="B72" i="30"/>
  <c r="B76" i="30" s="1"/>
  <c r="B80" i="30" s="1"/>
  <c r="B84" i="30" s="1"/>
  <c r="B88" i="30" s="1"/>
  <c r="B92" i="30" s="1"/>
  <c r="B8" i="30"/>
  <c r="B12" i="30" s="1"/>
  <c r="B19" i="30" s="1"/>
  <c r="B23" i="30" s="1"/>
  <c r="B27" i="30" s="1"/>
  <c r="B31" i="30" s="1"/>
  <c r="B35" i="30" s="1"/>
  <c r="B39" i="30" s="1"/>
  <c r="B43" i="30" s="1"/>
  <c r="B48" i="30" s="1"/>
  <c r="B52" i="30" s="1"/>
  <c r="B56" i="30" s="1"/>
  <c r="B60" i="30" s="1"/>
  <c r="B64" i="30" s="1"/>
  <c r="D14" i="3" l="1"/>
  <c r="D15" i="3" s="1"/>
  <c r="D16" i="3" s="1"/>
  <c r="D17" i="3" s="1"/>
  <c r="B20" i="6" l="1"/>
  <c r="D21" i="6" l="1"/>
  <c r="D22" i="6" s="1"/>
  <c r="D23" i="6" s="1"/>
  <c r="D24" i="6" s="1"/>
  <c r="D25" i="6" s="1"/>
  <c r="D26" i="6" s="1"/>
  <c r="D27" i="6" s="1"/>
  <c r="D28" i="6" s="1"/>
  <c r="D29" i="6" s="1"/>
  <c r="D30" i="6" s="1"/>
  <c r="D31" i="6" s="1"/>
  <c r="D32" i="6" s="1"/>
  <c r="B58" i="3" l="1"/>
  <c r="D28" i="9" l="1"/>
  <c r="D29" i="9" s="1"/>
  <c r="D19" i="9"/>
  <c r="D20" i="9" s="1"/>
  <c r="G17" i="9"/>
  <c r="G16" i="9"/>
  <c r="G15" i="9"/>
  <c r="D11" i="9"/>
  <c r="D10" i="9"/>
  <c r="G8" i="9"/>
  <c r="G7" i="9"/>
  <c r="G6" i="9"/>
  <c r="B44" i="6"/>
  <c r="B48" i="6" s="1"/>
  <c r="B52" i="6" s="1"/>
  <c r="B56" i="6" s="1"/>
  <c r="B62" i="6" s="1"/>
  <c r="B66" i="6" s="1"/>
  <c r="B70" i="6" s="1"/>
  <c r="B74" i="6" s="1"/>
  <c r="B78" i="6" s="1"/>
  <c r="B39" i="3"/>
  <c r="B40" i="3" s="1"/>
  <c r="B41" i="3" s="1"/>
  <c r="B42" i="3" s="1"/>
  <c r="B43" i="3" s="1"/>
  <c r="B44" i="3" s="1"/>
  <c r="B45" i="3" s="1"/>
  <c r="B46" i="3" s="1"/>
  <c r="B47" i="3" s="1"/>
  <c r="B48" i="3" s="1"/>
  <c r="B49" i="3" s="1"/>
  <c r="B50" i="3" s="1"/>
  <c r="B21" i="3"/>
  <c r="B24" i="20"/>
  <c r="B9" i="20" s="1"/>
  <c r="B13" i="15"/>
  <c r="B17" i="15" s="1"/>
  <c r="B21" i="15" s="1"/>
  <c r="B25" i="15" s="1"/>
  <c r="B29" i="15" s="1"/>
  <c r="B33" i="15" s="1"/>
  <c r="B37" i="15" s="1"/>
  <c r="B41" i="15" s="1"/>
  <c r="B45" i="15" s="1"/>
  <c r="B49" i="15" s="1"/>
  <c r="B53" i="15" s="1"/>
  <c r="D7" i="18"/>
  <c r="D8" i="18" s="1"/>
  <c r="D9" i="18" s="1"/>
  <c r="D10" i="18" s="1"/>
  <c r="D11" i="18" s="1"/>
  <c r="D80" i="16"/>
  <c r="D81" i="16" s="1"/>
  <c r="D82" i="16" s="1"/>
  <c r="D75" i="16"/>
  <c r="D76" i="16" s="1"/>
  <c r="D77" i="16" s="1"/>
  <c r="D78" i="16" s="1"/>
  <c r="D67" i="16"/>
  <c r="D68" i="16" s="1"/>
  <c r="D69" i="16" s="1"/>
  <c r="D65" i="16"/>
  <c r="D45" i="16"/>
  <c r="D34" i="16"/>
  <c r="B30" i="16"/>
  <c r="B31" i="16" s="1"/>
  <c r="B32" i="16" s="1"/>
  <c r="B33" i="16" s="1"/>
  <c r="B25" i="16"/>
  <c r="B26" i="16" s="1"/>
  <c r="B27" i="16" s="1"/>
  <c r="B28" i="16" s="1"/>
  <c r="D14" i="16"/>
  <c r="D15" i="16" s="1"/>
  <c r="D16" i="16" s="1"/>
  <c r="D17" i="16" s="1"/>
  <c r="D18" i="16" s="1"/>
  <c r="D19" i="16" s="1"/>
  <c r="D20" i="16" s="1"/>
  <c r="D21" i="16" s="1"/>
  <c r="D22" i="16" s="1"/>
  <c r="D23" i="16" s="1"/>
  <c r="B13" i="16"/>
  <c r="D11" i="16"/>
  <c r="D12" i="16" s="1"/>
  <c r="D9" i="16"/>
  <c r="B39" i="16" l="1"/>
  <c r="B40" i="16" s="1"/>
  <c r="B41" i="16" s="1"/>
  <c r="B42" i="16" s="1"/>
  <c r="B43" i="16" s="1"/>
  <c r="B44" i="16" s="1"/>
  <c r="B46" i="16" s="1"/>
  <c r="B47" i="16" s="1"/>
  <c r="B55" i="16" s="1"/>
  <c r="B60" i="16" s="1"/>
  <c r="B64" i="16" s="1"/>
  <c r="B66" i="16" s="1"/>
  <c r="B72" i="16" s="1"/>
  <c r="B74" i="16" s="1"/>
  <c r="B79" i="16" s="1"/>
  <c r="B38" i="16"/>
  <c r="B12" i="6"/>
  <c r="B14" i="6" s="1"/>
  <c r="B55" i="3"/>
  <c r="B56" i="3" s="1"/>
  <c r="B54" i="3"/>
  <c r="B59" i="16" l="1"/>
</calcChain>
</file>

<file path=xl/sharedStrings.xml><?xml version="1.0" encoding="utf-8"?>
<sst xmlns="http://schemas.openxmlformats.org/spreadsheetml/2006/main" count="1483" uniqueCount="645">
  <si>
    <t>NO.</t>
  </si>
  <si>
    <t>QUESTIONS AND FILTERS</t>
  </si>
  <si>
    <t>CODING CATEGORIES</t>
  </si>
  <si>
    <t>SKIPS</t>
  </si>
  <si>
    <t>Yes</t>
  </si>
  <si>
    <t>No</t>
  </si>
  <si>
    <t xml:space="preserve">Don't know </t>
  </si>
  <si>
    <t>Refused</t>
  </si>
  <si>
    <t xml:space="preserve">N/A </t>
  </si>
  <si>
    <t xml:space="preserve">Other </t>
  </si>
  <si>
    <t>1.a.</t>
  </si>
  <si>
    <t>1.b.</t>
  </si>
  <si>
    <t>Cigaretts or tobacco?</t>
  </si>
  <si>
    <t>Item:</t>
  </si>
  <si>
    <t>2.b.</t>
  </si>
  <si>
    <t>Newspapers and magazines</t>
  </si>
  <si>
    <t xml:space="preserve">Costs related to transportation for your products, yourself and your employees </t>
  </si>
  <si>
    <t>→</t>
  </si>
  <si>
    <t>3.a.</t>
  </si>
  <si>
    <t>3.b.</t>
  </si>
  <si>
    <t>Don’t know</t>
  </si>
  <si>
    <t>Rarely (1-2 times)</t>
  </si>
  <si>
    <t>Sometimes (3-10 times)</t>
  </si>
  <si>
    <t>Often (more than 10 times)</t>
  </si>
  <si>
    <t>2.a.</t>
  </si>
  <si>
    <t>|__|__|</t>
  </si>
  <si>
    <t>Did you or will you have to pay back more money than you borrowed?</t>
  </si>
  <si>
    <t>Name:____________________________</t>
  </si>
  <si>
    <t>Spouse / partner</t>
  </si>
  <si>
    <t>Son / daughter</t>
  </si>
  <si>
    <t>Son-in-law / daughter-in-law</t>
  </si>
  <si>
    <t>Grandchild</t>
  </si>
  <si>
    <t>Mother/father</t>
  </si>
  <si>
    <t>Mother-in-law / father-in-law</t>
  </si>
  <si>
    <t>Grandparent</t>
  </si>
  <si>
    <t>Brother / sister</t>
  </si>
  <si>
    <t>Brother/sister-in-law</t>
  </si>
  <si>
    <t>Niece / nephew</t>
  </si>
  <si>
    <t>Cousin</t>
  </si>
  <si>
    <t xml:space="preserve"> Buying non-essential things (luxury or enjoyment)</t>
  </si>
  <si>
    <t>Basic needs (food or shelter)</t>
  </si>
  <si>
    <t xml:space="preserve">Invest in own business or farm </t>
  </si>
  <si>
    <t xml:space="preserve">Education </t>
  </si>
  <si>
    <t xml:space="preserve">Health </t>
  </si>
  <si>
    <t xml:space="preserve">NAME of borrower </t>
  </si>
  <si>
    <t>for food?</t>
  </si>
  <si>
    <t>for education?</t>
  </si>
  <si>
    <t>to support business?</t>
  </si>
  <si>
    <t>|__|,|__|__|__|,|__|__|__|  UGX</t>
  </si>
  <si>
    <t xml:space="preserve"> | __ | </t>
  </si>
  <si>
    <t xml:space="preserve">Days </t>
  </si>
  <si>
    <t>|__|__|__|,|__|__|__| UGX</t>
  </si>
  <si>
    <t>B.</t>
  </si>
  <si>
    <t>C.</t>
  </si>
  <si>
    <t>E.</t>
  </si>
  <si>
    <t>NAME of source of the loan?</t>
  </si>
  <si>
    <t>G.</t>
  </si>
  <si>
    <r>
      <t>Q</t>
    </r>
    <r>
      <rPr>
        <sz val="9"/>
        <rFont val="Times New Roman"/>
        <family val="1"/>
      </rPr>
      <t>UESTIONS</t>
    </r>
    <r>
      <rPr>
        <sz val="10"/>
        <rFont val="Times New Roman"/>
        <family val="1"/>
      </rPr>
      <t xml:space="preserve"> A</t>
    </r>
    <r>
      <rPr>
        <sz val="9"/>
        <rFont val="Times New Roman"/>
        <family val="1"/>
      </rPr>
      <t>ND</t>
    </r>
    <r>
      <rPr>
        <sz val="10"/>
        <rFont val="Times New Roman"/>
        <family val="1"/>
      </rPr>
      <t xml:space="preserve"> F</t>
    </r>
    <r>
      <rPr>
        <sz val="9"/>
        <rFont val="Times New Roman"/>
        <family val="1"/>
      </rPr>
      <t>ILTERS</t>
    </r>
  </si>
  <si>
    <r>
      <t>C</t>
    </r>
    <r>
      <rPr>
        <sz val="9"/>
        <rFont val="Times New Roman"/>
        <family val="1"/>
      </rPr>
      <t>ODING</t>
    </r>
    <r>
      <rPr>
        <sz val="10"/>
        <rFont val="Times New Roman"/>
        <family val="1"/>
      </rPr>
      <t xml:space="preserve"> C</t>
    </r>
    <r>
      <rPr>
        <sz val="9"/>
        <rFont val="Times New Roman"/>
        <family val="1"/>
      </rPr>
      <t>ATEGORIES</t>
    </r>
  </si>
  <si>
    <r>
      <t>S</t>
    </r>
    <r>
      <rPr>
        <sz val="9"/>
        <rFont val="Times New Roman"/>
        <family val="1"/>
      </rPr>
      <t>KIP</t>
    </r>
  </si>
  <si>
    <t xml:space="preserve">  DD/MM/YY:   |___|___|/|___|___|/|___|___|</t>
  </si>
  <si>
    <t>Masindi</t>
  </si>
  <si>
    <t>Soroti</t>
  </si>
  <si>
    <t>Other: Pilot/test</t>
  </si>
  <si>
    <t>Language of the interview:</t>
  </si>
  <si>
    <t>Respondent First Name:</t>
  </si>
  <si>
    <t>Respondent third/other name:</t>
  </si>
  <si>
    <t>Respondent nickname:</t>
  </si>
  <si>
    <t>id</t>
  </si>
  <si>
    <t>Respondent ID Code</t>
  </si>
  <si>
    <t xml:space="preserve"> |___|___|___|___|___|</t>
  </si>
  <si>
    <t>id_check</t>
  </si>
  <si>
    <t>Respondent ID Code Check</t>
  </si>
  <si>
    <t>taso_id</t>
  </si>
  <si>
    <t>Respondent TASO ID</t>
  </si>
  <si>
    <t xml:space="preserve"> |___|___|___|___|___|___|___|</t>
  </si>
  <si>
    <t>Enumerator’s (FO's) name</t>
  </si>
  <si>
    <t>Enumerator's (FO's)  ID Code</t>
  </si>
  <si>
    <t>|___|___|</t>
  </si>
  <si>
    <t>Team Leader’s name</t>
  </si>
  <si>
    <t>Team Leader's ID Code</t>
  </si>
  <si>
    <t>Is the TL present at the interview?</t>
  </si>
  <si>
    <t xml:space="preserve">Yes        </t>
  </si>
  <si>
    <t>consent</t>
  </si>
  <si>
    <t xml:space="preserve">           Location of interview</t>
  </si>
  <si>
    <t xml:space="preserve">District: </t>
  </si>
  <si>
    <t>County:</t>
  </si>
  <si>
    <t>Sub-county:</t>
  </si>
  <si>
    <t>Parish:</t>
  </si>
  <si>
    <t>Village:</t>
  </si>
  <si>
    <t>LC1 Chairman's Name:</t>
  </si>
  <si>
    <t>Whose phone number is this?</t>
  </si>
  <si>
    <r>
      <rPr>
        <b/>
        <sz val="10"/>
        <rFont val="Times New Roman"/>
        <family val="1"/>
      </rPr>
      <t>Do not read:</t>
    </r>
    <r>
      <rPr>
        <sz val="10"/>
        <rFont val="Times New Roman"/>
        <family val="1"/>
      </rPr>
      <t xml:space="preserve"> Are you suspicious that the person you are interviewing is not the one we sought for an interview?</t>
    </r>
  </si>
  <si>
    <r>
      <rPr>
        <b/>
        <sz val="10"/>
        <rFont val="Times New Roman"/>
        <family val="1"/>
      </rPr>
      <t xml:space="preserve">Do not read: </t>
    </r>
    <r>
      <rPr>
        <sz val="10"/>
        <rFont val="Times New Roman"/>
        <family val="1"/>
      </rPr>
      <t>Does this person seem emotionally, mentally, and physically capable of completing this survey?</t>
    </r>
  </si>
  <si>
    <t>No, intoxicated</t>
  </si>
  <si>
    <t>No, mentally impaired</t>
  </si>
  <si>
    <t>No, too sick or in pain</t>
  </si>
  <si>
    <t>No, deaf</t>
  </si>
  <si>
    <r>
      <rPr>
        <b/>
        <sz val="10"/>
        <rFont val="Times New Roman"/>
        <family val="1"/>
      </rPr>
      <t xml:space="preserve">Do not read: </t>
    </r>
    <r>
      <rPr>
        <sz val="10"/>
        <rFont val="Times New Roman"/>
        <family val="1"/>
      </rPr>
      <t>How well do you know the respondent and the respondent's family?</t>
    </r>
  </si>
  <si>
    <t>I do not know this person or their family</t>
  </si>
  <si>
    <t xml:space="preserve">I know who this person is, or, I have seen them before </t>
  </si>
  <si>
    <t xml:space="preserve">This person is an acquaintance (for example, I interact with him/her once in awhile)  </t>
  </si>
  <si>
    <t>→ Stop survey and consult your team leader</t>
  </si>
  <si>
    <t>I know this person a fair amount or know their family a fair amount</t>
  </si>
  <si>
    <t>I know this person very well (this includes close relatives, good friends) or know this person's family very well</t>
  </si>
  <si>
    <r>
      <rPr>
        <b/>
        <sz val="10"/>
        <rFont val="Times New Roman"/>
        <family val="1"/>
      </rPr>
      <t xml:space="preserve">Do not read: </t>
    </r>
    <r>
      <rPr>
        <sz val="10"/>
        <rFont val="Times New Roman"/>
        <family val="1"/>
      </rPr>
      <t xml:space="preserve">Are you personally from or do you currently live in a geographic location that is close to where this respondent lives? </t>
    </r>
  </si>
  <si>
    <t>No, I am not from or I do not live around this area</t>
  </si>
  <si>
    <t>Yes, I am from or I live in the same parish</t>
  </si>
  <si>
    <t>Yes, I am from or I live in the same village</t>
  </si>
  <si>
    <t>→ If no, stop survey and consult your team leader</t>
  </si>
  <si>
    <t>|__|,|__|__|__|,|__|__|__| UGX</t>
  </si>
  <si>
    <t>Cost in UGX:</t>
  </si>
  <si>
    <t>a. Do you rent land or buildings for your business activities?</t>
  </si>
  <si>
    <t>a. Do you use electricity in the running of your business?</t>
  </si>
  <si>
    <t>a. Do you use water  in the running of your business?</t>
  </si>
  <si>
    <t>Do you grow crops for commercial purpose?</t>
  </si>
  <si>
    <t>Total amount that has to be paid back per month to service any loans  you have in your business?</t>
  </si>
  <si>
    <t>for health care?</t>
  </si>
  <si>
    <t xml:space="preserve">Saving/ loan group </t>
  </si>
  <si>
    <t>Community Group</t>
  </si>
  <si>
    <t xml:space="preserve">Friend </t>
  </si>
  <si>
    <t>Other TASO member</t>
  </si>
  <si>
    <t>Employer/ Employee</t>
  </si>
  <si>
    <t>Charcoal / Firewood?</t>
  </si>
  <si>
    <t>Toilet paper?</t>
  </si>
  <si>
    <t>Yes, I am from or I live in the same sub county</t>
  </si>
  <si>
    <t>Interview site</t>
  </si>
  <si>
    <t>Male</t>
  </si>
  <si>
    <t>Female</t>
  </si>
  <si>
    <t xml:space="preserve">B. </t>
  </si>
  <si>
    <t>Kumam</t>
  </si>
  <si>
    <t>What is your marital status?</t>
  </si>
  <si>
    <t>Married, monogamous</t>
  </si>
  <si>
    <t>Married, polygamous (incl. co-wife with polygamous husband)</t>
  </si>
  <si>
    <t xml:space="preserve">Widowed </t>
  </si>
  <si>
    <t xml:space="preserve">Divorced / Separated </t>
  </si>
  <si>
    <t xml:space="preserve">Cohabitating </t>
  </si>
  <si>
    <t>Never married and not cohabitating (Single)</t>
  </si>
  <si>
    <r>
      <rPr>
        <b/>
        <i/>
        <sz val="10"/>
        <rFont val="Times New Roman"/>
        <family val="1"/>
      </rPr>
      <t>Do not read aloud:</t>
    </r>
    <r>
      <rPr>
        <sz val="10"/>
        <rFont val="Times New Roman"/>
        <family val="1"/>
      </rPr>
      <t xml:space="preserve"> How would you assess the respondent's physical state at the end of the interview, compared to their state when the interview began?</t>
    </r>
  </si>
  <si>
    <t>Not tired or only slightly more tired than at the beginning</t>
  </si>
  <si>
    <t>Visibly more tired/sick</t>
  </si>
  <si>
    <t>Had to stop or pause interview because respondent significantly sick</t>
  </si>
  <si>
    <r>
      <rPr>
        <b/>
        <i/>
        <sz val="10"/>
        <rFont val="Times New Roman"/>
        <family val="1"/>
      </rPr>
      <t xml:space="preserve">Do not read aloud: </t>
    </r>
    <r>
      <rPr>
        <sz val="10"/>
        <rFont val="Times New Roman"/>
        <family val="1"/>
      </rPr>
      <t>Are you suspicious that this person was intoxicated during this interview?</t>
    </r>
  </si>
  <si>
    <t>No, completely sober</t>
  </si>
  <si>
    <t>A little bit intoxicated</t>
  </si>
  <si>
    <t>Somewhat intoxicated</t>
  </si>
  <si>
    <t>Totally intoxicated</t>
  </si>
  <si>
    <r>
      <rPr>
        <b/>
        <i/>
        <sz val="10"/>
        <rFont val="Times New Roman"/>
        <family val="1"/>
      </rPr>
      <t xml:space="preserve">Do not read aloud: </t>
    </r>
    <r>
      <rPr>
        <sz val="10"/>
        <rFont val="Times New Roman"/>
        <family val="1"/>
      </rPr>
      <t>How did this person’s thought process appear to you during the survey?</t>
    </r>
  </si>
  <si>
    <t>Logical and sensible</t>
  </si>
  <si>
    <t>A little unclear or confused</t>
  </si>
  <si>
    <t>Several times unclear or insensible</t>
  </si>
  <si>
    <t>Totally unclear or disoriented</t>
  </si>
  <si>
    <r>
      <rPr>
        <b/>
        <i/>
        <sz val="10"/>
        <rFont val="Times New Roman"/>
        <family val="1"/>
      </rPr>
      <t xml:space="preserve">Do not read aloud: </t>
    </r>
    <r>
      <rPr>
        <sz val="10"/>
        <rFont val="Times New Roman"/>
        <family val="1"/>
      </rPr>
      <t>How did this person’s emotional state appear to you during the survey?</t>
    </r>
  </si>
  <si>
    <t>Emotionally stable throughout interview</t>
  </si>
  <si>
    <t>Mostly stable but somewhat unstable at points</t>
  </si>
  <si>
    <t>Very emotional at times or throughout entire interview</t>
  </si>
  <si>
    <t>Showed inappropriate emotions (i.e., laughed when talking about atrocities)</t>
  </si>
  <si>
    <t>Showed no emotion at all</t>
  </si>
  <si>
    <r>
      <t>Was anyone present during the survey other than the respondent, the FO, and the TL?</t>
    </r>
    <r>
      <rPr>
        <i/>
        <sz val="10"/>
        <rFont val="Times New Roman"/>
        <family val="1"/>
      </rPr>
      <t xml:space="preserve"> (Do not count children under 5 years old)
</t>
    </r>
    <r>
      <rPr>
        <b/>
        <sz val="10"/>
        <rFont val="Times New Roman"/>
        <family val="1"/>
      </rPr>
      <t>CHECK ALL THAT APPLY</t>
    </r>
  </si>
  <si>
    <t>à</t>
  </si>
  <si>
    <t>Someone from the household/village/community</t>
  </si>
  <si>
    <t>Field Manager</t>
  </si>
  <si>
    <t>PA</t>
  </si>
  <si>
    <t>Other team member</t>
  </si>
  <si>
    <r>
      <t>Other (</t>
    </r>
    <r>
      <rPr>
        <sz val="8"/>
        <rFont val="Times New Roman"/>
        <family val="1"/>
      </rPr>
      <t>SPECIFY TITLE/RELATIONSHIP</t>
    </r>
    <r>
      <rPr>
        <sz val="10"/>
        <rFont val="Times New Roman"/>
        <family val="1"/>
      </rPr>
      <t>): [_________________________________]</t>
    </r>
  </si>
  <si>
    <t>If non-team members were present (i.e. someone from hh or community, why did the survey continue and the person was not evicted?</t>
  </si>
  <si>
    <t>Enumerator comments</t>
  </si>
  <si>
    <t xml:space="preserve">GPS Coordinates: </t>
  </si>
  <si>
    <t>N________________E__________________</t>
  </si>
  <si>
    <t xml:space="preserve">Yes </t>
  </si>
  <si>
    <t>Purchase of gas, fuel, charcoal  for non-transport related expense. (Cooking, lighting, generators etc.)</t>
  </si>
  <si>
    <t xml:space="preserve">Date of  next Interview:                                                                      </t>
  </si>
  <si>
    <t xml:space="preserve">A.  </t>
  </si>
  <si>
    <t>Domestic work, apart from fetching water</t>
  </si>
  <si>
    <t>Fetching water</t>
  </si>
  <si>
    <t xml:space="preserve">D.  </t>
  </si>
  <si>
    <t>Digging in your own garden (including cash crops)</t>
  </si>
  <si>
    <t>Digging in someone else’s garden</t>
  </si>
  <si>
    <t xml:space="preserve">F.  </t>
  </si>
  <si>
    <t>Collecting firewood or grass for yourself or sale</t>
  </si>
  <si>
    <t>H.</t>
  </si>
  <si>
    <t>Working for someone as a casual laborer</t>
  </si>
  <si>
    <t>HH:MM</t>
  </si>
  <si>
    <r>
      <t xml:space="preserve">1. Yes
2. No </t>
    </r>
    <r>
      <rPr>
        <b/>
        <sz val="10"/>
        <rFont val="Times New Roman"/>
        <family val="1"/>
      </rPr>
      <t>→ Next Activity</t>
    </r>
  </si>
  <si>
    <t>I</t>
  </si>
  <si>
    <t>(i)</t>
  </si>
  <si>
    <t xml:space="preserve"> |__|__|:|__|__|</t>
  </si>
  <si>
    <t>(ii)</t>
  </si>
  <si>
    <t>(iii)</t>
  </si>
  <si>
    <t>(iv)</t>
  </si>
  <si>
    <t>(v)</t>
  </si>
  <si>
    <t>(vi)</t>
  </si>
  <si>
    <t>(vii)</t>
  </si>
  <si>
    <t>(viii)</t>
  </si>
  <si>
    <t>(ix)</t>
  </si>
  <si>
    <t>(x)</t>
  </si>
  <si>
    <t xml:space="preserve">No. </t>
  </si>
  <si>
    <t xml:space="preserve">Questions </t>
  </si>
  <si>
    <t xml:space="preserve">Skips </t>
  </si>
  <si>
    <t>Spouse</t>
  </si>
  <si>
    <t xml:space="preserve">Another person within the household </t>
  </si>
  <si>
    <t>Another person outside the household</t>
  </si>
  <si>
    <t>a. Specify name of owner, if not the respondent him/her self.</t>
  </si>
  <si>
    <t>Ateso</t>
  </si>
  <si>
    <t>Runyoro</t>
  </si>
  <si>
    <t>Luo</t>
  </si>
  <si>
    <t xml:space="preserve">Acholi </t>
  </si>
  <si>
    <t xml:space="preserve">Langi </t>
  </si>
  <si>
    <t xml:space="preserve">Alur </t>
  </si>
  <si>
    <t xml:space="preserve">English </t>
  </si>
  <si>
    <t>Swahili</t>
  </si>
  <si>
    <t>Luganda</t>
  </si>
  <si>
    <t>Runyankole</t>
  </si>
  <si>
    <t xml:space="preserve">Coding Categories </t>
  </si>
  <si>
    <t xml:space="preserve">Participated in vocational training </t>
  </si>
  <si>
    <t>Kerosene  / gas / petrol / paraffin (for lighting, cooking, generators)?</t>
  </si>
  <si>
    <t>Respondent</t>
  </si>
  <si>
    <t>A</t>
  </si>
  <si>
    <t>C</t>
  </si>
  <si>
    <t>D</t>
  </si>
  <si>
    <t>I.</t>
  </si>
  <si>
    <t xml:space="preserve">Attended formal education </t>
  </si>
  <si>
    <t xml:space="preserve">I. </t>
  </si>
  <si>
    <t xml:space="preserve">J. </t>
  </si>
  <si>
    <t>Costs of buying medication</t>
  </si>
  <si>
    <t xml:space="preserve">Fee of doctors consultation </t>
  </si>
  <si>
    <t xml:space="preserve">If YES, read:
How much did you pay in total?
</t>
  </si>
  <si>
    <t>Transport - matatus, buses and boda bodas?</t>
  </si>
  <si>
    <t>Electricity (for lighting and cooking)?</t>
  </si>
  <si>
    <t>a. Health care for yourself?</t>
  </si>
  <si>
    <t>a. Health care for someone else?</t>
  </si>
  <si>
    <t xml:space="preserve">Travel costs to get to/from health care facility </t>
  </si>
  <si>
    <t xml:space="preserve">b. What are these expenses for? </t>
  </si>
  <si>
    <t xml:space="preserve">c. What was the total amount for these expenses? </t>
  </si>
  <si>
    <t xml:space="preserve">d. For how many months does this amount cater? </t>
  </si>
  <si>
    <t>H.2a</t>
  </si>
  <si>
    <t>H.3a</t>
  </si>
  <si>
    <t>H.4a</t>
  </si>
  <si>
    <t>Lending Institution/ A bank</t>
  </si>
  <si>
    <t>Neighbor</t>
  </si>
  <si>
    <t>Phone number where the respondent can be reached?</t>
  </si>
  <si>
    <t>Outstanding payment for health care services</t>
  </si>
  <si>
    <r>
      <t>Did  or will (</t>
    </r>
    <r>
      <rPr>
        <i/>
        <sz val="10"/>
        <rFont val="Times New Roman"/>
        <family val="1"/>
      </rPr>
      <t>name of borrower)</t>
    </r>
    <r>
      <rPr>
        <sz val="10"/>
        <rFont val="Times New Roman"/>
        <family val="1"/>
      </rPr>
      <t xml:space="preserve"> pay back more money than they borrowed?</t>
    </r>
  </si>
  <si>
    <r>
      <t>How much money are you still waiting to receive back from (</t>
    </r>
    <r>
      <rPr>
        <i/>
        <sz val="10"/>
        <rFont val="Times New Roman"/>
        <family val="1"/>
      </rPr>
      <t>name of borrower)</t>
    </r>
  </si>
  <si>
    <t>Soap (bar soap for bathing or washing and washing powder, Omo, Nomi)?</t>
  </si>
  <si>
    <t>Household cleaning products (soapdish,  toilet cleansers, steal wire or sponge ,etc.)?</t>
  </si>
  <si>
    <t xml:space="preserve">Maintenance or repair of machines, tools and business building or business vehicles </t>
  </si>
  <si>
    <t>How much money do you currently owe to:</t>
  </si>
  <si>
    <t>Relative or friend</t>
  </si>
  <si>
    <t>Put 0 if none</t>
  </si>
  <si>
    <t>Commercial Bank</t>
  </si>
  <si>
    <t>Savings group/cash box</t>
  </si>
  <si>
    <t>Microfinance agency</t>
  </si>
  <si>
    <t>Moneylender</t>
  </si>
  <si>
    <t>NGO or religious organization</t>
  </si>
  <si>
    <t>Repay an advance payment for future work</t>
  </si>
  <si>
    <t>School fees</t>
  </si>
  <si>
    <t>Do you have any loans in-kind that you have not yet repaid, for example, a bag of millet that was borrowed?</t>
  </si>
  <si>
    <t>Water?</t>
  </si>
  <si>
    <t>Rent for house?</t>
  </si>
  <si>
    <t>How much money do you still need to pay back to (Name of source of loan)?</t>
  </si>
  <si>
    <t>b. If yes,  how much did you re-pay?</t>
  </si>
  <si>
    <t>QUESTIONS AND FILTERS &amp; CODES</t>
  </si>
  <si>
    <t>A.</t>
  </si>
  <si>
    <t>b. Does this person know that you belong to TASO?</t>
  </si>
  <si>
    <t>b. If a=YES, read:  What was the value of this consumption?</t>
  </si>
  <si>
    <t>Did you consume any roasted meats, chips, roasted maize, or other snacks prepared on charcoal outside of the household?</t>
  </si>
  <si>
    <t>Did you consume any sweets or ice cream outside of the household?</t>
  </si>
  <si>
    <t>Fee of seeing  a nurse/midwife, or other medical staff</t>
  </si>
  <si>
    <t>Lab/Test Costs</t>
  </si>
  <si>
    <r>
      <t xml:space="preserve">Costs for skills training/ vocational training for yourself.  </t>
    </r>
    <r>
      <rPr>
        <i/>
        <sz val="10"/>
        <rFont val="Times New Roman"/>
        <family val="1"/>
      </rPr>
      <t>(Include fees, books, uniform and transport to/from school)</t>
    </r>
  </si>
  <si>
    <r>
      <t xml:space="preserve">Do you raise any income by keeping animals ? </t>
    </r>
    <r>
      <rPr>
        <i/>
        <sz val="10"/>
        <rFont val="Times New Roman"/>
        <family val="1"/>
      </rPr>
      <t xml:space="preserve"> E.g. sold eggs from chickens or milk from cows, sold an animal for slaughter or breeding.</t>
    </r>
  </si>
  <si>
    <t xml:space="preserve">Purchase of stock for re-sale. </t>
  </si>
  <si>
    <t xml:space="preserve">Any other costs related to your business, for example security (e.g. guard or dog etc.) </t>
  </si>
  <si>
    <t xml:space="preserve">Number of Days
</t>
  </si>
  <si>
    <t xml:space="preserve"> </t>
  </si>
  <si>
    <r>
      <t>How much did you borrow from [</t>
    </r>
    <r>
      <rPr>
        <i/>
        <sz val="10"/>
        <rFont val="Times New Roman"/>
        <family val="1"/>
      </rPr>
      <t>Name of source of loan</t>
    </r>
    <r>
      <rPr>
        <sz val="10"/>
        <rFont val="Times New Roman"/>
        <family val="1"/>
      </rPr>
      <t xml:space="preserve">]? </t>
    </r>
  </si>
  <si>
    <t>Emergencies</t>
  </si>
  <si>
    <t>Other :________</t>
  </si>
  <si>
    <t>M.</t>
  </si>
  <si>
    <t>Thank you for doing this interview with me. I will start by asking about some basic information about you.</t>
  </si>
  <si>
    <t xml:space="preserve">If phone number is different from before, ask: Previously you gave you phone number as __________. Has this phone number changed or is this an additional number? </t>
  </si>
  <si>
    <t>b. If a=YES, read:  How many days did you consume this item in the past seven days?</t>
  </si>
  <si>
    <t>In the past 4 weeks, was there ever no food to eat of any kind in your house because of lack of money or  resources to get food?</t>
  </si>
  <si>
    <t>How often did this happen in the past 4 weeks?</t>
  </si>
  <si>
    <r>
      <t>In the past 4 weeks, did you or any household member go to sleep at night hungry because there was not enough food? [</t>
    </r>
    <r>
      <rPr>
        <b/>
        <sz val="10"/>
        <rFont val="Times New Roman"/>
        <family val="1"/>
      </rPr>
      <t>This can be because they did not eat at all or because they did not eat enough.]</t>
    </r>
  </si>
  <si>
    <t>In the past 4 weeks, did you or any household member go a whole day and night without eating anything at all because there was not enough food?</t>
  </si>
  <si>
    <t>L.</t>
  </si>
  <si>
    <t>What TASO CDDP do you go to?</t>
  </si>
  <si>
    <t>b. If yes, what did you spend money on?
MARK ALL THAT APPLY</t>
  </si>
  <si>
    <t>If No→ Record corrected directions on the tracking sheet</t>
  </si>
  <si>
    <t xml:space="preserve">Are the directions to the respondent's household given in the tracking sheet accurate? </t>
  </si>
  <si>
    <t>Prefill</t>
  </si>
  <si>
    <t>I changed my number, the old one is no longer valid</t>
  </si>
  <si>
    <t>This is an additional number</t>
  </si>
  <si>
    <t>I never changed the number, this is the correct one</t>
  </si>
  <si>
    <t>Which number is the best to use to reach you?</t>
  </si>
  <si>
    <t>This one</t>
  </si>
  <si>
    <t>The old one</t>
  </si>
  <si>
    <t>Ask only if A20 = 2</t>
  </si>
  <si>
    <t>→ A. 22</t>
  </si>
  <si>
    <t>What kind of business is this? (What sector does it belong to?)</t>
  </si>
  <si>
    <t>b. If yes. How much/ What was the value of the in-kind gift?</t>
  </si>
  <si>
    <t xml:space="preserve">DO NOT READ: In this part of the module we are only interested in recording the food that the respondent  (not the whole household) has consumed outside the household. </t>
  </si>
  <si>
    <t>Fuel for using own/household  vehicle?
IF NONE, PUT N/A</t>
  </si>
  <si>
    <t>Now, I would like to talk about money that you borrowed, also known as loans. We define loans as money you received that you have to repay. Loans can come from a formal source such as a bank or microfinance institution, or from an informal source such as a friend, relative or local savings group. These do not have to be big amounts -- even if it is just 1,000, please tell me. We want to talk about your loans, not of other people in your household, so please do not count those.</t>
  </si>
  <si>
    <t>If you had to repay these loans in cash right now, how much would you have to pay?</t>
  </si>
  <si>
    <t>Invest in other’s business or farm</t>
  </si>
  <si>
    <t>Other (use code)</t>
  </si>
  <si>
    <t>How much did you lend to (name of borrower)?</t>
  </si>
  <si>
    <t xml:space="preserve">If no, skip module </t>
  </si>
  <si>
    <t>Did you consume any wine, commercial beer, spirits, or local brews (including waragi) outside of the household?</t>
  </si>
  <si>
    <t>Water?
DO NOT COUNT water costs that are included in rent</t>
  </si>
  <si>
    <t>Electricity?
DO NOT COUNT electricity costs that are included in rent</t>
  </si>
  <si>
    <t>Donations/offetories/collection to  church/mosque, charity, beggars, etc.</t>
  </si>
  <si>
    <t>Unsure of specific purpose</t>
  </si>
  <si>
    <r>
      <t xml:space="preserve">Costs for agricultural improvements for crops for eating </t>
    </r>
    <r>
      <rPr>
        <i/>
        <sz val="10"/>
        <rFont val="Times New Roman"/>
        <family val="1"/>
      </rPr>
      <t xml:space="preserve">(Inlude fertilizer, seeds, etc)
</t>
    </r>
    <r>
      <rPr>
        <sz val="10"/>
        <rFont val="Times New Roman"/>
        <family val="1"/>
      </rPr>
      <t>DO NOT COUNT agricultural improvements/purchases for commercial farming</t>
    </r>
  </si>
  <si>
    <t>Hospitalization (i.e. getting admitted)</t>
  </si>
  <si>
    <t>E.6</t>
  </si>
  <si>
    <t xml:space="preserve">Did you consume any full meals (breakfast, lunch, or dinner) outside of the household?
Please do not count meals that only contained tea and snacks. </t>
  </si>
  <si>
    <t xml:space="preserve">Did you consume tea, coffee, samosas, cake, bread, or other hotel snacks outside of the household?
Please do not count what has already been reported as a part of a full meal.
</t>
  </si>
  <si>
    <t>b. If yes, what did you spend money on? 
MARK ALL THAT APPLY</t>
  </si>
  <si>
    <t>D.24</t>
  </si>
  <si>
    <r>
      <rPr>
        <sz val="10"/>
        <rFont val="Cambria"/>
        <family val="1"/>
      </rPr>
      <t>→</t>
    </r>
    <r>
      <rPr>
        <sz val="9"/>
        <rFont val="Times New Roman"/>
        <family val="1"/>
      </rPr>
      <t>Next Section</t>
    </r>
  </si>
  <si>
    <t>Seasonally</t>
  </si>
  <si>
    <t>Hunting</t>
  </si>
  <si>
    <t>Taking care of (raising) your own animals</t>
  </si>
  <si>
    <t xml:space="preserve">L.  </t>
  </si>
  <si>
    <t>Working as a formal employee for somebody else (private firm, NGO, or religious organization) on regular basis</t>
  </si>
  <si>
    <t xml:space="preserve">M.   </t>
  </si>
  <si>
    <t>Working as a contractual employee or informal employee for somebody else (private firm, NGO, or religious organization)  on regular or semi-regular basis</t>
  </si>
  <si>
    <t xml:space="preserve">N. </t>
  </si>
  <si>
    <t xml:space="preserve">O. </t>
  </si>
  <si>
    <t>Working in your own business</t>
  </si>
  <si>
    <t>Occasionally selling  food, vegetables, or small items (not regular occurrence and not considering it a business)</t>
  </si>
  <si>
    <t>Working in a political position (LC1, etc.)</t>
  </si>
  <si>
    <t>Have you done any other activities that we have not mentioned in the past 7 days? If any, record activity here: _________________________</t>
  </si>
  <si>
    <t>P.</t>
  </si>
  <si>
    <t>Q.</t>
  </si>
  <si>
    <t>R.</t>
  </si>
  <si>
    <t>Searched for a job</t>
  </si>
  <si>
    <t xml:space="preserve">S.   </t>
  </si>
  <si>
    <t xml:space="preserve">Y. </t>
  </si>
  <si>
    <t>Have you done any other activity for money or trade that we have not mentioned in the past 7 days? If any, record activity here: _________________________</t>
  </si>
  <si>
    <t>Leisure or luxury (e.g. travel, wedding costs)</t>
  </si>
  <si>
    <t>Asset purchase</t>
  </si>
  <si>
    <t>Land purchase</t>
  </si>
  <si>
    <t>School Fees/training</t>
  </si>
  <si>
    <t>Home/property improvement</t>
  </si>
  <si>
    <t>Health/medical costs</t>
  </si>
  <si>
    <t>Invest in someone else's business</t>
  </si>
  <si>
    <t>Invest in current business</t>
  </si>
  <si>
    <t xml:space="preserve">Start a business </t>
  </si>
  <si>
    <t>Pay off a loan</t>
  </si>
  <si>
    <t>Loan to someone else</t>
  </si>
  <si>
    <t>4.a.</t>
  </si>
  <si>
    <t>4.b.</t>
  </si>
  <si>
    <t>How many times in the last 3 days did you miss taking one of your ART pills?</t>
  </si>
  <si>
    <t>1.a</t>
  </si>
  <si>
    <t>1.b</t>
  </si>
  <si>
    <t>varname</t>
  </si>
  <si>
    <t>d6_electr</t>
  </si>
  <si>
    <t>d6_charcoal</t>
  </si>
  <si>
    <t>d8_gas</t>
  </si>
  <si>
    <t>d9_transport</t>
  </si>
  <si>
    <t>d10_fuel</t>
  </si>
  <si>
    <t>d11_cigarettes</t>
  </si>
  <si>
    <t>d12_soap</t>
  </si>
  <si>
    <t>d13_toiletpap</t>
  </si>
  <si>
    <t>d14_cosmetic</t>
  </si>
  <si>
    <t>d15_hhcleaning</t>
  </si>
  <si>
    <t>d17_itemrepair</t>
  </si>
  <si>
    <t>d16_homerepair</t>
  </si>
  <si>
    <t>d18_donations</t>
  </si>
  <si>
    <t>d19_funeral</t>
  </si>
  <si>
    <t>d20_newspaper</t>
  </si>
  <si>
    <t>d21_airtime</t>
  </si>
  <si>
    <t>d22_internet</t>
  </si>
  <si>
    <t>d24c_healthrelate</t>
  </si>
  <si>
    <t>d26_training</t>
  </si>
  <si>
    <t>d25_school</t>
  </si>
  <si>
    <t>d27_ag</t>
  </si>
  <si>
    <t>d28_other</t>
  </si>
  <si>
    <t>d29_other_item</t>
  </si>
  <si>
    <t>G</t>
  </si>
  <si>
    <t>How many different businesses do you own? If you sell different things from the same location, please count that as one business, not many.</t>
  </si>
  <si>
    <t>READ. Now I'd like to ask you some questions about how you earn money. I am not only interested in whether you have job with a paid salary or you run a big business. I want to know about all the different ways that you use to raise money, even if they are smaller amounts.</t>
  </si>
  <si>
    <t>g1_numbus</t>
  </si>
  <si>
    <t>g2_bustype</t>
  </si>
  <si>
    <t>g3_busact</t>
  </si>
  <si>
    <t>g5_soldcrops</t>
  </si>
  <si>
    <t>g6_husbandry</t>
  </si>
  <si>
    <t>Do you have any money-making activities other than farming and/or your business?</t>
  </si>
  <si>
    <t>K</t>
  </si>
  <si>
    <t>K.</t>
  </si>
  <si>
    <t>L</t>
  </si>
  <si>
    <t>m2_name</t>
  </si>
  <si>
    <t>m3_relation</t>
  </si>
  <si>
    <t>m4_amt</t>
  </si>
  <si>
    <t>m5_interest</t>
  </si>
  <si>
    <t>Ask for ag business only</t>
  </si>
  <si>
    <t>Weekly</t>
  </si>
  <si>
    <t>Twice a month</t>
  </si>
  <si>
    <t>Payments to employees and casual workers, including costs for salaries as well as daily allowances or meals (Do not include payments to yourself or other  owner(s))</t>
  </si>
  <si>
    <t>c. Do you pay rent weekly/monthly or seasonally?</t>
  </si>
  <si>
    <t>d. How much do you pay for a week/month/season [select appropriate]?</t>
  </si>
  <si>
    <t>b. How much did you  pay to Rent  land and/or building(s) for business during the past 3 weeks?</t>
  </si>
  <si>
    <t>c. How much did  you pay for electricity, for business use? (in the past 3 weeks)</t>
  </si>
  <si>
    <t>Purchase of inputs for production in the past 3 weeks (include fertilizer here)</t>
  </si>
  <si>
    <t>Purchase of any new equipment in the past 3 weeks (Tools, machines or buildings)</t>
  </si>
  <si>
    <t xml:space="preserve">How much did this business make from sales of all products and services in the past 3 weeks? </t>
  </si>
  <si>
    <t>What were the profits of this business in the past 3 weeks? That is, how much did this business earn after paying all expenses except payments to yourself or other owners?</t>
  </si>
  <si>
    <t>e1a_rent_yn</t>
  </si>
  <si>
    <t>e1b_rent_amt</t>
  </si>
  <si>
    <t>e1c_ag_rent_pd</t>
  </si>
  <si>
    <t>e1d_ag_rent_amt</t>
  </si>
  <si>
    <t>e2a_electr_yn</t>
  </si>
  <si>
    <t>e2b_electr_incl</t>
  </si>
  <si>
    <t>e2c_electr_amt</t>
  </si>
  <si>
    <t>e3a_water_yn</t>
  </si>
  <si>
    <t>e3b_water_incl</t>
  </si>
  <si>
    <t>e3c_water_amt</t>
  </si>
  <si>
    <t>e4_inputs</t>
  </si>
  <si>
    <t>e5_equipment</t>
  </si>
  <si>
    <t>e6_repair</t>
  </si>
  <si>
    <t>e7_transport</t>
  </si>
  <si>
    <t>e8_labor</t>
  </si>
  <si>
    <t>e9_stock</t>
  </si>
  <si>
    <t>e10_airtime</t>
  </si>
  <si>
    <t>e11_garbage</t>
  </si>
  <si>
    <t>e12_loans</t>
  </si>
  <si>
    <t>e13_fuel</t>
  </si>
  <si>
    <t>e14_other</t>
  </si>
  <si>
    <t>e15d_major_pd</t>
  </si>
  <si>
    <t>e15c_major_amt</t>
  </si>
  <si>
    <t>e15b_major_specify</t>
  </si>
  <si>
    <t>e15a_majorcost</t>
  </si>
  <si>
    <t>e16_revenue</t>
  </si>
  <si>
    <t>e17_profit</t>
  </si>
  <si>
    <t>School fees, books, uniform, transport  to/from school, and other school costs for  children in your household
INSTRUCTIONS: Include other appropriate costs such as pocket money</t>
  </si>
  <si>
    <t>→ end survey</t>
  </si>
  <si>
    <t>No, other: [__________]</t>
  </si>
  <si>
    <t>How many loans have you taken out in the past 3 weeks?</t>
  </si>
  <si>
    <t xml:space="preserve"> In the past 3 weeks, have you given a loan to anybody, with the expectation that they pay you back? </t>
  </si>
  <si>
    <t>How many loans have you given out in the past 3 weeks?</t>
  </si>
  <si>
    <t>If none→ A. 8</t>
  </si>
  <si>
    <t xml:space="preserve">→ If suspicious, call TL and explain why you are suspicious. The TL will instruct you on next steps. </t>
  </si>
  <si>
    <t>→ If no,  ask to be allowed to interview the respondent alone. Stress that the interview is private and confidential. If there is no private spot available to conduct the interview, stop the interview and refer the case to the TL</t>
  </si>
  <si>
    <t>→ End survey and inform your TL</t>
  </si>
  <si>
    <t>Proceed with survey ONLY after reading/signing the Informed Consent.</t>
  </si>
  <si>
    <t>Did you purchase and consume any sodas, water, or other non-alcoholic drinks outside of the household?</t>
  </si>
  <si>
    <t>d4_rent_yn</t>
  </si>
  <si>
    <t>d4_rent_amt</t>
  </si>
  <si>
    <t>d5_water_yn</t>
  </si>
  <si>
    <t>d5_water_amt</t>
  </si>
  <si>
    <t>Do you own a business? This business can be big or small, agricultural or non-agricultural, and owned by yourself or jointly with others in your household or with partners.</t>
  </si>
  <si>
    <t>Is this an active business that you are currently running? Please tell me if you have sold the business, or not doing it this season or year, or stopped being involved in running it.</t>
  </si>
  <si>
    <t>Next bus.</t>
  </si>
  <si>
    <t>a. Do you currently have any savings in a bank account (including microfinance)? Some examples of banks and microfinance institutions are Centenary, Post Bank, FINCA, and Pride.</t>
  </si>
  <si>
    <r>
      <t xml:space="preserve">a. Do you currently have any savings in a SACCO? 
</t>
    </r>
    <r>
      <rPr>
        <b/>
        <i/>
        <sz val="10"/>
        <rFont val="Times New Roman"/>
        <family val="1"/>
      </rPr>
      <t>(A SACCO is a formal, registered savings group).</t>
    </r>
  </si>
  <si>
    <t>d1_monthrent_yn</t>
  </si>
  <si>
    <t>d1_monthrent_amt</t>
  </si>
  <si>
    <t>d2_monthwater_yn</t>
  </si>
  <si>
    <t>d2_monthwater_amt</t>
  </si>
  <si>
    <t>d3_monthelectr_yn</t>
  </si>
  <si>
    <t>d3_monthelectr_amt</t>
  </si>
  <si>
    <t>g4_farm_comm</t>
  </si>
  <si>
    <t>g7_business</t>
  </si>
  <si>
    <t>g11_money_act</t>
  </si>
  <si>
    <t>g12_money_code</t>
  </si>
  <si>
    <t>b. How much do you have saved with this bank/microfinance institution?</t>
  </si>
  <si>
    <t>b. How much do you have saved with this SACCO?</t>
  </si>
  <si>
    <t>b. How much do you have saved with this group?</t>
  </si>
  <si>
    <t>Are you saving for a specific purpose?</t>
  </si>
  <si>
    <t>a. In the last 3 weeks, did you or your household give  cash or in kind gift to someone outside the household?</t>
  </si>
  <si>
    <t>If yes, what are you saving for?
SELECT ALL THAT APPLY</t>
  </si>
  <si>
    <t>J.</t>
  </si>
  <si>
    <t>J. FOOD SECURITY</t>
  </si>
  <si>
    <t xml:space="preserve">I+K. Savings and Transfers </t>
  </si>
  <si>
    <t>j1_nofood</t>
  </si>
  <si>
    <t>j1_nofood_freq</t>
  </si>
  <si>
    <t>j2_sleephungry</t>
  </si>
  <si>
    <t>j2_sleephungry_freq</t>
  </si>
  <si>
    <t>j3_full_hunger</t>
  </si>
  <si>
    <t>j3_full_hunger_freq</t>
  </si>
  <si>
    <t>j4a_numpills</t>
  </si>
  <si>
    <t>j4b_misspill</t>
  </si>
  <si>
    <t>N.</t>
  </si>
  <si>
    <t>m1a_lend_yn</t>
  </si>
  <si>
    <t>m1b_lend_num</t>
  </si>
  <si>
    <t>X.</t>
  </si>
  <si>
    <t>None (bedridden)</t>
  </si>
  <si>
    <t>m6_remain_amt</t>
  </si>
  <si>
    <t>d23a_healthresp_yn</t>
  </si>
  <si>
    <t>d23a_healthresp_amt</t>
  </si>
  <si>
    <t>d23b_healthresp_cat</t>
  </si>
  <si>
    <t>d24a_healthothers_yn</t>
  </si>
  <si>
    <t>d24a_healthothers_amt</t>
  </si>
  <si>
    <t>d24a_healthothers_cat</t>
  </si>
  <si>
    <t>d29_other_amt</t>
  </si>
  <si>
    <t xml:space="preserve">Funeral, wedding, and other celebration/ceremony contributions
</t>
  </si>
  <si>
    <t>Airtime or phone charging costs for personal use (either for calls or for data on the phone)?</t>
  </si>
  <si>
    <t>Do you pay any of the following on a monthly basis?</t>
  </si>
  <si>
    <t>c. How is the person that you paid health care services for related to you?
INSTRUCTION: Fill in the sentence "The person the respondent paid for is the respondent's _________"
MARK ALL THAT APPLY</t>
  </si>
  <si>
    <t xml:space="preserve"> |___|___|___|</t>
  </si>
  <si>
    <t>Yes, active</t>
  </si>
  <si>
    <t>No, not active</t>
  </si>
  <si>
    <t>Use Occupation Code: 
|__|__|</t>
  </si>
  <si>
    <t>Use business code: |___|___|</t>
  </si>
  <si>
    <t xml:space="preserve">E. Business Expenditure </t>
  </si>
  <si>
    <t>E.2</t>
  </si>
  <si>
    <t>E.3</t>
  </si>
  <si>
    <t>E.4</t>
  </si>
  <si>
    <t>E.16</t>
  </si>
  <si>
    <t>b. Is electricity included in the rent expenditure?</t>
  </si>
  <si>
    <t>b. Is water included in the rent expenditure?</t>
  </si>
  <si>
    <t>c. How much did you pay for water  for business use? (in the past 3 weeks)</t>
  </si>
  <si>
    <t>Payment for cleaning and garbage services</t>
  </si>
  <si>
    <t>Read: Now I’d like to ask you some questions about your savings. Please remember, the amounts you report do not have to be big -- even if it is 1,000 please tell me. Remember that everything that you tell me in this interview is confidential and will not be passed on to anyone outside the research team.</t>
  </si>
  <si>
    <t>I'd now like to talk about gifts that you have given or received.</t>
  </si>
  <si>
    <t>for other purposes or no specific purpose? (general spending)</t>
  </si>
  <si>
    <t>Have you taken out any loans (borrowed money) in the past 3 weeks?</t>
  </si>
  <si>
    <t>Other [___________]</t>
  </si>
  <si>
    <t>Other: [________________]</t>
  </si>
  <si>
    <t>Now I want to ask you about your medication. How many times a day [within 24 hours] are you supposed to take your ART pills?</t>
  </si>
  <si>
    <t xml:space="preserve">b. If YES, read:
How much do you pay per month
</t>
  </si>
  <si>
    <r>
      <rPr>
        <sz val="10"/>
        <rFont val="Times New Roman"/>
        <family val="1"/>
      </rPr>
      <t>Activity</t>
    </r>
    <r>
      <rPr>
        <b/>
        <i/>
        <sz val="10"/>
        <rFont val="Times New Roman"/>
        <family val="1"/>
      </rPr>
      <t xml:space="preserve">
(Use letter code above)</t>
    </r>
  </si>
  <si>
    <r>
      <t xml:space="preserve">In the past 7 days, how many days did you spend on </t>
    </r>
    <r>
      <rPr>
        <b/>
        <sz val="10"/>
        <rFont val="Times New Roman"/>
        <family val="1"/>
      </rPr>
      <t>[say activity]</t>
    </r>
    <r>
      <rPr>
        <sz val="10"/>
        <rFont val="Times New Roman"/>
        <family val="1"/>
      </rPr>
      <t>?</t>
    </r>
  </si>
  <si>
    <r>
      <t xml:space="preserve">How many </t>
    </r>
    <r>
      <rPr>
        <u/>
        <sz val="10"/>
        <rFont val="Times New Roman"/>
        <family val="1"/>
      </rPr>
      <t>total hours per day</t>
    </r>
    <r>
      <rPr>
        <b/>
        <sz val="10"/>
        <rFont val="Times New Roman"/>
        <family val="1"/>
      </rPr>
      <t xml:space="preserve"> on average</t>
    </r>
    <r>
      <rPr>
        <sz val="10"/>
        <rFont val="Times New Roman"/>
        <family val="1"/>
      </rPr>
      <t xml:space="preserve"> did you spend on  </t>
    </r>
    <r>
      <rPr>
        <b/>
        <sz val="10"/>
        <rFont val="Times New Roman"/>
        <family val="1"/>
      </rPr>
      <t>[say activity]</t>
    </r>
    <r>
      <rPr>
        <sz val="10"/>
        <rFont val="Times New Roman"/>
        <family val="1"/>
      </rPr>
      <t xml:space="preserve"> on the days you did the activity?
</t>
    </r>
    <r>
      <rPr>
        <b/>
        <i/>
        <sz val="10"/>
        <rFont val="Times New Roman"/>
        <family val="1"/>
      </rPr>
      <t xml:space="preserve">If respondent struggles with activities performed multiple times a day, help them add up </t>
    </r>
  </si>
  <si>
    <r>
      <t xml:space="preserve">Do you ever receive any income from this activity, </t>
    </r>
    <r>
      <rPr>
        <b/>
        <sz val="10"/>
        <rFont val="Times New Roman"/>
        <family val="1"/>
      </rPr>
      <t>in money or goods?</t>
    </r>
  </si>
  <si>
    <t>Z.</t>
  </si>
  <si>
    <t>Visiting a clinic, health center or doctor</t>
  </si>
  <si>
    <r>
      <t xml:space="preserve">
Question: Please list all of the people or places you lend any money to in the past 3 weeks.
</t>
    </r>
    <r>
      <rPr>
        <i/>
        <sz val="10"/>
        <rFont val="Times New Roman"/>
        <family val="1"/>
      </rPr>
      <t xml:space="preserve">Instructions: Finish question 2- 8 for all loans that the respondent list (names) under question no.1. If a respondent has given several loans to the same person, number them. </t>
    </r>
  </si>
  <si>
    <t>Anywhere else we have not mentioned (for example, workplace, borrowing airtime) 
OTHER: [_________________]</t>
  </si>
  <si>
    <t>Is the location information (village, parish, etc.) given on the tracking sheet accurate?</t>
  </si>
  <si>
    <t>Wine, commercial beer, spirits or local brews (including waragi)</t>
  </si>
  <si>
    <t>If yes, what other money making activity are you doing?</t>
  </si>
  <si>
    <t>Monthly</t>
  </si>
  <si>
    <t>Expenditure on phone airtime, Internet and charging</t>
  </si>
  <si>
    <t>a. Did you pay for any other major non-monthly (annual/quarterly) business related expenses in the past 3 weeks? ( E.g. Tax payment, trading license or required licenses)</t>
  </si>
  <si>
    <t>Basic needs (Food, clothes, etc.)</t>
  </si>
  <si>
    <t>if G1 - 0 no audit qns in E</t>
  </si>
  <si>
    <t>H. TIME USE</t>
  </si>
  <si>
    <t>H.1</t>
  </si>
  <si>
    <t>H.2.</t>
  </si>
  <si>
    <t>H.3.</t>
  </si>
  <si>
    <t>H.4.</t>
  </si>
  <si>
    <t>For any of the questions below, put -88 if "Refused", and -99 if "Don't Know"</t>
  </si>
  <si>
    <t>|__|,|__|__|__|,|__|__|__| UGX
-88. Refused         -99. Don't know</t>
  </si>
  <si>
    <t>|__||__|,|__|__|__|,|__|__|__| UGX
-88. Refused         -99. Don't know</t>
  </si>
  <si>
    <t xml:space="preserve">Personal products / cosmetics (for example: toothpaste, toothbrUGX, shampoo, razor blades, hair products, deodorant, perfume, make up, glycerin, skin creams)?
Do not include hair products purchased for business.
</t>
  </si>
  <si>
    <t>|__|,|__|__|__|,|__|__|__| UGX
-88. Refused         -99. Don't know</t>
  </si>
  <si>
    <t>In the past 3 weeks have you sold any crops grown by your household that were meant for your own consumption to raise income for your family?
IF CONFUSED, PROBE: This means crops that were not meant for commercial sale but that you sold either because there was a surplus or because you needed to get money.</t>
  </si>
  <si>
    <t xml:space="preserve">So far we have talked about how you spent your money on food. Now I'd like to know what other expenditures you have, for self or for your household.  First we will talk about some expenses that are monthly, and then about your spending in the past 3 weeks. </t>
  </si>
  <si>
    <t xml:space="preserve">Now we have finished talking about the possible monthly expenses. Now I want to ask you about purchases you made in the past 3 weeks. </t>
  </si>
  <si>
    <t>During the past 3 weeks, did you purchase or pay for any…?
IF IN KIND CONTRIBUTION: Help the respondent calculate the value of the contribution</t>
  </si>
  <si>
    <t>We have now talked about a different things that you may have spent money on in the past 3 weeks. Now I would like to ask you if there are any other expenditures that you incurred that we haven't discussed yet .</t>
  </si>
  <si>
    <t>In the past 3 weeks, what else did you spend money on for personal and/or household  use, and how much did it cost?  
DO NOT READ: Mark "Yes" if respondent lists any items to record them.</t>
  </si>
  <si>
    <t>Rent for house?
INSTRUCTION: Make sure the house reported is used for dwelling and not for business</t>
  </si>
  <si>
    <t>a. Did you re-pay all or part of this debt in the past three weeks?</t>
  </si>
  <si>
    <t>a. In the last 3 weeks, did you re-pay any loans (a whole loan or part of a loan) that we have not yet talked about?</t>
  </si>
  <si>
    <t>b. If yes,  how much did you re-pay in total on these loans?</t>
  </si>
  <si>
    <t>Did the household consume the  following food items in the past 7 days? (within the household)</t>
  </si>
  <si>
    <t>In the last 3 weeks…</t>
  </si>
  <si>
    <t>Yearly</t>
  </si>
  <si>
    <t>How is the person/ institution you that borrowed money from related to you? 
INSTRUCTIONS: Fill in the following sentence: "The respondent is borrowing from his/her/a: _______."</t>
  </si>
  <si>
    <t>How is the person you lend money  related to you? 
INSTRUCTIONS: Fill in the following sentence: "The person borrowing is the respondent's _______ ."</t>
  </si>
  <si>
    <t>READ. I am now going to ask you questions about what you and your household have been eating in the past 7 days. I would like to ask you to be as precise as you possibly can. 
Before we talk about this, let us discuss what we mean by household in this survey, and who we should count as your household this time. By household throughout the survey we mean a group of persons who: 
--live together in the same dwelling or compound,
--recognize one person as the head, 
--share the same housekeeping arrangement and eat from the same pot,
--contribute financially and/or receive financial support from the household,
--and have lived in the household for at least 30 days consecutively or 60 days non consecutively in the last three months.</t>
  </si>
  <si>
    <t>If Yes→ A.18</t>
  </si>
  <si>
    <t xml:space="preserve">Read: Now I want to ask you how you have spent your time last 7 days. This includes activities you do for money or trade, or for  the household and / or yourself.
I will read you a list of activities, and you will say what you have done in the past 4 weeks. Then I will ask you about each activity in the past 7 days. So, in the last four weeks have you…?
INSTRUCTION: Ask about each activity from the list. If yes, put the corresponding letter in the table, then return to reading from the list. </t>
  </si>
  <si>
    <t xml:space="preserve">Please politely thank the respondent for the interview and provide then with information on how to reach us in case of questions. AFTER thanking the respondent and proceed to fill this out. </t>
  </si>
  <si>
    <t>Read: Now I’d like to ask you some questions about your food intake. It is very important for us to understand if your household experience any food shortages.
Please remember that your answers will not affect any assistance you or this community may receive.</t>
  </si>
  <si>
    <t>Instructions: I will be reading out different food groups to you. And, we will be discussing them one at the time. We will talk about all the food that you have eaten in the past 7days. But to make it easier, please don't tell me about all the foods you have had in one go, we will be discussing them one at the time.</t>
  </si>
  <si>
    <t>a. In the last 3 weeks, did you or your household receive any cash or in kind gift from someone outside the household? This can be from a person or an organization.</t>
  </si>
  <si>
    <t>Working as a formal employee for the government (incl. military)</t>
  </si>
  <si>
    <t>Working as a volunteer for a private firm, NGO or religoius organization, for example, as a CASA for TASO</t>
  </si>
  <si>
    <t>In the next set of question I will be asking about any loans that you might have given out in the past 3 weeks. (Record if the respondent has "lent out" money to a customers and record salary overdue, but do not record salary that is still expected.)</t>
  </si>
  <si>
    <r>
      <rPr>
        <b/>
        <sz val="10"/>
        <rFont val="Times New Roman"/>
        <family val="1"/>
      </rPr>
      <t xml:space="preserve">Do not read: </t>
    </r>
    <r>
      <rPr>
        <sz val="10"/>
        <rFont val="Times New Roman"/>
        <family val="1"/>
      </rPr>
      <t>Consent given?</t>
    </r>
  </si>
  <si>
    <r>
      <t xml:space="preserve">Respondent </t>
    </r>
    <r>
      <rPr>
        <b/>
        <sz val="10"/>
        <rFont val="Times New Roman"/>
        <family val="1"/>
      </rPr>
      <t>Surname</t>
    </r>
    <r>
      <rPr>
        <sz val="10"/>
        <rFont val="Times New Roman"/>
        <family val="1"/>
      </rPr>
      <t>:</t>
    </r>
  </si>
  <si>
    <r>
      <t xml:space="preserve">Do not read: </t>
    </r>
    <r>
      <rPr>
        <sz val="10"/>
        <rFont val="Times New Roman"/>
        <family val="1"/>
      </rPr>
      <t xml:space="preserve"> Is the interview being conducted with the interviewee alone (excepting survey staff)? (</t>
    </r>
    <r>
      <rPr>
        <b/>
        <sz val="10"/>
        <rFont val="Times New Roman"/>
        <family val="1"/>
      </rPr>
      <t>Children who are too young to understand the conversation can remain. All other children and adults must be asked to leave.)</t>
    </r>
  </si>
  <si>
    <r>
      <rPr>
        <b/>
        <sz val="10"/>
        <rFont val="Times New Roman"/>
        <family val="1"/>
      </rPr>
      <t xml:space="preserve">OBSERVE: </t>
    </r>
    <r>
      <rPr>
        <sz val="10"/>
        <rFont val="Times New Roman"/>
        <family val="1"/>
      </rPr>
      <t>Gender of respondent</t>
    </r>
  </si>
  <si>
    <r>
      <rPr>
        <b/>
        <i/>
        <sz val="10"/>
        <rFont val="Times New Roman"/>
        <family val="1"/>
      </rPr>
      <t>DO NOT READ:</t>
    </r>
    <r>
      <rPr>
        <i/>
        <sz val="10"/>
        <rFont val="Times New Roman"/>
        <family val="1"/>
      </rPr>
      <t xml:space="preserve"> It is important to record </t>
    </r>
    <r>
      <rPr>
        <b/>
        <i/>
        <sz val="10"/>
        <rFont val="Times New Roman"/>
        <family val="1"/>
      </rPr>
      <t>exactly</t>
    </r>
    <r>
      <rPr>
        <i/>
        <sz val="10"/>
        <rFont val="Times New Roman"/>
        <family val="1"/>
      </rPr>
      <t xml:space="preserve"> what the respondent has been eating and what the respondent has bought and paid for. This module is not about approximations! It is also important to remember that this is for the whole household.</t>
    </r>
  </si>
  <si>
    <r>
      <rPr>
        <sz val="10"/>
        <rFont val="Times New Roman"/>
        <family val="1"/>
      </rPr>
      <t xml:space="preserve">Cereals, grains, and cereal products?       </t>
    </r>
    <r>
      <rPr>
        <i/>
        <sz val="10"/>
        <rFont val="Times New Roman"/>
        <family val="1"/>
      </rPr>
      <t xml:space="preserve">                                        (maize grain/flour/ posho; green maize; rice; finger millet; pearl millet; sorghum; wheat flour; bread; pasta; other cereal)</t>
    </r>
  </si>
  <si>
    <r>
      <rPr>
        <sz val="10"/>
        <rFont val="Times New Roman"/>
        <family val="1"/>
      </rPr>
      <t>Roots, tubers, and matooke</t>
    </r>
    <r>
      <rPr>
        <i/>
        <sz val="10"/>
        <rFont val="Times New Roman"/>
        <family val="1"/>
      </rPr>
      <t xml:space="preserve">
(cassava tuber/flour; sweet potato; Irish potato; other tuber/plantain/matooke)</t>
    </r>
  </si>
  <si>
    <r>
      <rPr>
        <sz val="10"/>
        <rFont val="Times New Roman"/>
        <family val="1"/>
      </rPr>
      <t>Nuts and pulses</t>
    </r>
    <r>
      <rPr>
        <i/>
        <sz val="10"/>
        <rFont val="Times New Roman"/>
        <family val="1"/>
      </rPr>
      <t xml:space="preserve">
(bean; pigeon pea; groundnut; green bean; cow pea; other nut/pulse)</t>
    </r>
  </si>
  <si>
    <r>
      <rPr>
        <sz val="10"/>
        <rFont val="Times New Roman"/>
        <family val="1"/>
      </rPr>
      <t>Vegetables</t>
    </r>
    <r>
      <rPr>
        <i/>
        <sz val="10"/>
        <rFont val="Times New Roman"/>
        <family val="1"/>
      </rPr>
      <t xml:space="preserve">
(onion; onion leaves; cabbage; wild green leaves; tomato; dodo; cucumber; other vegetables/leaves)</t>
    </r>
  </si>
  <si>
    <r>
      <rPr>
        <sz val="10"/>
        <rFont val="Times New Roman"/>
        <family val="1"/>
      </rPr>
      <t xml:space="preserve">Meat, fish and animal products
</t>
    </r>
    <r>
      <rPr>
        <i/>
        <sz val="10"/>
        <rFont val="Times New Roman"/>
        <family val="1"/>
      </rPr>
      <t>(egg; dried/fresh/smoked fish; beef; goat meat; pork; poultry; other meat)</t>
    </r>
  </si>
  <si>
    <r>
      <rPr>
        <sz val="10"/>
        <rFont val="Times New Roman"/>
        <family val="1"/>
      </rPr>
      <t xml:space="preserve">Fruits
</t>
    </r>
    <r>
      <rPr>
        <i/>
        <sz val="10"/>
        <rFont val="Times New Roman"/>
        <family val="1"/>
      </rPr>
      <t>(mango; banana; citrus; pineapple; papayas avocado; apple; other fruit)</t>
    </r>
  </si>
  <si>
    <r>
      <rPr>
        <sz val="10"/>
        <rFont val="Times New Roman"/>
        <family val="1"/>
      </rPr>
      <t xml:space="preserve">Milk/milk products
</t>
    </r>
    <r>
      <rPr>
        <i/>
        <sz val="10"/>
        <rFont val="Times New Roman"/>
        <family val="1"/>
      </rPr>
      <t>(fresh/powdered/soured milk; yoghurt; cheese; other milk product - excluding margarine/butter or small amounts of milk for tea/coffee)</t>
    </r>
  </si>
  <si>
    <r>
      <rPr>
        <sz val="10"/>
        <rFont val="Times New Roman"/>
        <family val="1"/>
      </rPr>
      <t xml:space="preserve">Fats/oil
</t>
    </r>
    <r>
      <rPr>
        <i/>
        <sz val="10"/>
        <rFont val="Times New Roman"/>
        <family val="1"/>
      </rPr>
      <t>(cooking oil; butter; margarine; kimbo; other fat/oil)</t>
    </r>
  </si>
  <si>
    <r>
      <t xml:space="preserve">Sugar/sugar products/honey
</t>
    </r>
    <r>
      <rPr>
        <i/>
        <sz val="10"/>
        <rFont val="Times New Roman"/>
        <family val="1"/>
      </rPr>
      <t>(sugar; sugar cane; honey; jam; jelly; sweets/candy/chocolate; other sugar product)</t>
    </r>
  </si>
  <si>
    <r>
      <rPr>
        <sz val="10"/>
        <rFont val="Times New Roman"/>
        <family val="1"/>
      </rPr>
      <t>Spices</t>
    </r>
    <r>
      <rPr>
        <i/>
        <sz val="10"/>
        <rFont val="Times New Roman"/>
        <family val="1"/>
      </rPr>
      <t xml:space="preserve">
(tea; coffee/cocoa/milo; </t>
    </r>
    <r>
      <rPr>
        <b/>
        <i/>
        <sz val="10"/>
        <rFont val="Times New Roman"/>
        <family val="1"/>
      </rPr>
      <t>salt;</t>
    </r>
    <r>
      <rPr>
        <i/>
        <sz val="10"/>
        <rFont val="Times New Roman"/>
        <family val="1"/>
      </rPr>
      <t xml:space="preserve"> spices; yeast/baking powder; tomato sauce, hot sauce; fish powder/sauce; other condiment - including small amounts of milk for tea/coffee)</t>
    </r>
  </si>
  <si>
    <r>
      <t>Sodas or other non-alcoholic drinks.</t>
    </r>
    <r>
      <rPr>
        <i/>
        <sz val="10"/>
        <rFont val="Times New Roman"/>
        <family val="1"/>
      </rPr>
      <t xml:space="preserve"> E.g. juice but not water</t>
    </r>
  </si>
  <si>
    <r>
      <t xml:space="preserve">We have talked about food consumed in the household. Now I'm interested in knowing what food </t>
    </r>
    <r>
      <rPr>
        <b/>
        <sz val="10"/>
        <rFont val="Times New Roman"/>
        <family val="1"/>
      </rPr>
      <t>you</t>
    </r>
    <r>
      <rPr>
        <sz val="10"/>
        <rFont val="Times New Roman"/>
        <family val="1"/>
      </rPr>
      <t xml:space="preserve"> have purchased and consumed outside your household. Before I asked you about food consumed in the past 7 days, but now I want to know about what you have purchased and consumed in the past 3 weeks. Please only count the food that you yourself consumed; so, if you went to a hotel with your spouse and both had dinner, you only count how much your dinner cost.</t>
    </r>
  </si>
  <si>
    <r>
      <t>Repairs, maintenance or improvements to home / dwelling.</t>
    </r>
    <r>
      <rPr>
        <i/>
        <sz val="10"/>
        <rFont val="Times New Roman"/>
        <family val="1"/>
      </rPr>
      <t xml:space="preserve"> (Buildings on their compound, e.g. house, latrine, fence etc.)</t>
    </r>
  </si>
  <si>
    <r>
      <t xml:space="preserve">Repairs to household and personal items </t>
    </r>
    <r>
      <rPr>
        <i/>
        <sz val="10"/>
        <rFont val="Times New Roman"/>
        <family val="1"/>
      </rPr>
      <t>(e.g. phone, Jerri can, shoes, saucepans, bike, clothes)</t>
    </r>
  </si>
  <si>
    <r>
      <t xml:space="preserve">Internet use </t>
    </r>
    <r>
      <rPr>
        <i/>
        <sz val="10"/>
        <rFont val="Times New Roman"/>
        <family val="1"/>
      </rPr>
      <t>(Do not include internet- time received from promotion codes or data used on phones)</t>
    </r>
  </si>
  <si>
    <r>
      <t xml:space="preserve">a. Do you currently participate in a savings group or ASCA/VSLA?
</t>
    </r>
    <r>
      <rPr>
        <b/>
        <i/>
        <sz val="10"/>
        <rFont val="Times New Roman"/>
        <family val="1"/>
      </rPr>
      <t xml:space="preserve">(A VSLA is an informal village savings group). </t>
    </r>
  </si>
  <si>
    <r>
      <t xml:space="preserve">How much money do you have saved in other locations, apart from banks, SACCO, VSLAs and other places we've already mentioned? Just to clarify, these savings do not have to be in a formal account or formal institution. They can be somewhere at home, hidden in a safe place, with a friend or a relative or in a mobile money account. This can be a small or large amount of money. 
Please remember that this interview is confidential and will be used only for research purposes. Your answer will not affect any kind of benefits.
</t>
    </r>
    <r>
      <rPr>
        <b/>
        <i/>
        <sz val="10"/>
        <rFont val="Times New Roman"/>
        <family val="1"/>
      </rPr>
      <t>(Please probe. If none, put 0)</t>
    </r>
  </si>
  <si>
    <r>
      <t xml:space="preserve">
Question: Please list all of the people or places you borrowed any of money from in the past 3 weeks.
</t>
    </r>
    <r>
      <rPr>
        <i/>
        <sz val="10"/>
        <rFont val="Times New Roman"/>
        <family val="1"/>
      </rPr>
      <t xml:space="preserve">Instructions: Finish question 2- 10 for all loans that the respondent list (names) under question no.1. If a respondent has several loans from one and  the same person, number them. </t>
    </r>
  </si>
  <si>
    <r>
      <t>If no</t>
    </r>
    <r>
      <rPr>
        <sz val="10"/>
        <rFont val="Cambria"/>
        <family val="1"/>
      </rPr>
      <t>→L.11.</t>
    </r>
  </si>
  <si>
    <r>
      <t xml:space="preserve">What is the main thing that you used the money from </t>
    </r>
    <r>
      <rPr>
        <i/>
        <sz val="10"/>
        <rFont val="Times New Roman"/>
        <family val="1"/>
      </rPr>
      <t>(Name of source of loan</t>
    </r>
    <r>
      <rPr>
        <sz val="10"/>
        <rFont val="Times New Roman"/>
        <family val="1"/>
      </rPr>
      <t>) for?</t>
    </r>
  </si>
  <si>
    <r>
      <t xml:space="preserve">If No </t>
    </r>
    <r>
      <rPr>
        <sz val="10"/>
        <rFont val="Cambria"/>
        <family val="1"/>
      </rPr>
      <t>→</t>
    </r>
    <r>
      <rPr>
        <sz val="10"/>
        <rFont val="Times New Roman"/>
        <family val="1"/>
      </rPr>
      <t>next debt</t>
    </r>
  </si>
  <si>
    <r>
      <t xml:space="preserve">If No </t>
    </r>
    <r>
      <rPr>
        <sz val="10"/>
        <rFont val="Cambria"/>
        <family val="1"/>
      </rPr>
      <t>→</t>
    </r>
    <r>
      <rPr>
        <sz val="10"/>
        <rFont val="Times New Roman"/>
        <family val="1"/>
      </rPr>
      <t>next sect.</t>
    </r>
  </si>
  <si>
    <r>
      <rPr>
        <b/>
        <sz val="10"/>
        <rFont val="Times New Roman"/>
        <family val="1"/>
      </rPr>
      <t xml:space="preserve">Read: </t>
    </r>
    <r>
      <rPr>
        <sz val="10"/>
        <rFont val="Times New Roman"/>
        <family val="1"/>
      </rPr>
      <t>Now I would like to ask some basic background questions about you.</t>
    </r>
  </si>
  <si>
    <r>
      <t xml:space="preserve">I would now like to ask you about  expenses for business that you have had and how much they were for the past </t>
    </r>
    <r>
      <rPr>
        <b/>
        <sz val="10"/>
        <rFont val="Times New Roman"/>
        <family val="1"/>
      </rPr>
      <t>3 weeks</t>
    </r>
    <r>
      <rPr>
        <sz val="10"/>
        <rFont val="Times New Roman"/>
        <family val="1"/>
      </rPr>
      <t xml:space="preserve">. By expenses, I mean all costs or bills that you pay in order to run any business, including agricultural business. </t>
    </r>
  </si>
  <si>
    <t>TASO fee</t>
  </si>
  <si>
    <t xml:space="preserve">Dental service </t>
  </si>
  <si>
    <t>Landloard/Landowner</t>
  </si>
  <si>
    <t>Teleoperator (airtime loan)</t>
  </si>
  <si>
    <t>Pay for emergency (not health related)</t>
  </si>
  <si>
    <t xml:space="preserve">Transport </t>
  </si>
  <si>
    <t>Re-pay debt</t>
  </si>
  <si>
    <t>Customer</t>
  </si>
  <si>
    <t>O. KESSLER SCALE</t>
  </si>
  <si>
    <t>DO NOT READ: This section is about emotional well-being of the respondent and you have to remember that the section will be administered in a different way that the previous sections. In this section we are not considering a specific time period, we are asking how the respondent feel in general. As an enumerator you are allowed to read the answer options to the respondent, for every question if needed.</t>
  </si>
  <si>
    <t>Read: Now I’d like to ask you some questions about your emotional well-being. All questions have the answer options "None of the time", "A little of the time", "Some of the time", "Most of the time", and "All of the time".  As I read you each question, please tell me which answer best matches how you feel.</t>
  </si>
  <si>
    <t>O</t>
  </si>
  <si>
    <t>About how often did you feel tired out for no good reason?</t>
  </si>
  <si>
    <t>None of the time</t>
  </si>
  <si>
    <t>o1_kes_tired</t>
  </si>
  <si>
    <t>A little of the time</t>
  </si>
  <si>
    <t>Some of the time</t>
  </si>
  <si>
    <t>Most of the time</t>
  </si>
  <si>
    <t>All of the time</t>
  </si>
  <si>
    <t>About how often did you feel nervous?</t>
  </si>
  <si>
    <t>o2_kes_nervous</t>
  </si>
  <si>
    <t>About how often did you feel so nervous that nothing could calm you down?</t>
  </si>
  <si>
    <t>o3_kes_nocalm</t>
  </si>
  <si>
    <t>About how often did you feel hopeless?</t>
  </si>
  <si>
    <t>o4_kes_hopeless</t>
  </si>
  <si>
    <t>About how often did you feel restless or fidgety?</t>
  </si>
  <si>
    <t>o5_kes_restless</t>
  </si>
  <si>
    <t>About how often did you feel so restless that you could not sit still?</t>
  </si>
  <si>
    <t>o6_kes_nostill</t>
  </si>
  <si>
    <t>About how often did you feel depressed?</t>
  </si>
  <si>
    <t>o7_kes_depressed</t>
  </si>
  <si>
    <t>About how often did you feel that everything is an effort?</t>
  </si>
  <si>
    <t>o8_kes_effort</t>
  </si>
  <si>
    <t>About how often did you feel so sad that nothing could cheer you up?</t>
  </si>
  <si>
    <t>o9_kes_sad</t>
  </si>
  <si>
    <t>About how often did you feel worthless?</t>
  </si>
  <si>
    <t>o10_kes_worthless</t>
  </si>
  <si>
    <t>We would like to come back and do another interview with you again in three weeks time. Would this be ok?</t>
  </si>
  <si>
    <r>
      <rPr>
        <sz val="10"/>
        <color theme="1"/>
        <rFont val="Cambria"/>
        <family val="1"/>
      </rPr>
      <t>→</t>
    </r>
    <r>
      <rPr>
        <sz val="10"/>
        <color theme="1"/>
        <rFont val="Times New Roman"/>
        <family val="1"/>
      </rPr>
      <t xml:space="preserve">Set up a new appt.,  suggest the date. Note down the time and date for the appt. on an appt. card and note it in the tracking sheet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</si>
</sst>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6" x14ac:knownFonts="1">
    <font>
      <sz val="11"/>
      <color theme="1"/>
      <name val="Calibri"/>
      <family val="2"/>
      <scheme val="minor"/>
    </font>
    <font>
      <b/>
      <sz val="10"/>
      <name val="Times New Roman"/>
      <family val="1"/>
    </font>
    <font>
      <sz val="10"/>
      <name val="Times New Roman"/>
      <family val="1"/>
    </font>
    <font>
      <b/>
      <i/>
      <sz val="10"/>
      <name val="Times New Roman"/>
      <family val="1"/>
    </font>
    <font>
      <b/>
      <u/>
      <sz val="12"/>
      <color indexed="12"/>
      <name val="Times New Roman"/>
      <family val="1"/>
    </font>
    <font>
      <b/>
      <sz val="9"/>
      <name val="Calibri"/>
      <family val="2"/>
    </font>
    <font>
      <sz val="9"/>
      <name val="Times New Roman"/>
      <family val="1"/>
    </font>
    <font>
      <i/>
      <sz val="10"/>
      <name val="Times New Roman"/>
      <family val="1"/>
    </font>
    <font>
      <b/>
      <u/>
      <sz val="12"/>
      <name val="Times New Roman"/>
      <family val="1"/>
    </font>
    <font>
      <b/>
      <u/>
      <sz val="12"/>
      <name val="Verdana"/>
      <family val="2"/>
    </font>
    <font>
      <sz val="10"/>
      <name val="Wingdings"/>
      <charset val="2"/>
    </font>
    <font>
      <b/>
      <sz val="11"/>
      <name val="Times New Roman"/>
      <family val="1"/>
    </font>
    <font>
      <sz val="8"/>
      <name val="Arial"/>
      <family val="2"/>
    </font>
    <font>
      <sz val="8"/>
      <name val="Times New Roman"/>
      <family val="1"/>
    </font>
    <font>
      <b/>
      <sz val="9"/>
      <name val="Times New Roman"/>
      <family val="1"/>
    </font>
    <font>
      <sz val="10"/>
      <name val="Verdana"/>
      <family val="2"/>
    </font>
    <font>
      <sz val="11"/>
      <name val="Times New Roman"/>
      <family val="1"/>
    </font>
    <font>
      <sz val="11"/>
      <name val="Calibri"/>
      <family val="2"/>
      <scheme val="minor"/>
    </font>
    <font>
      <sz val="10"/>
      <name val="Cambria"/>
      <family val="1"/>
    </font>
    <font>
      <u/>
      <sz val="10"/>
      <name val="Times New Roman"/>
      <family val="1"/>
    </font>
    <font>
      <sz val="9"/>
      <name val="Cambria"/>
      <family val="1"/>
    </font>
    <font>
      <sz val="10"/>
      <name val="Arial"/>
      <family val="2"/>
    </font>
    <font>
      <b/>
      <sz val="13"/>
      <name val="Times New Roman"/>
      <family val="1"/>
    </font>
    <font>
      <b/>
      <u/>
      <sz val="14"/>
      <name val="Times New Roman"/>
      <family val="1"/>
    </font>
    <font>
      <sz val="10"/>
      <color theme="1"/>
      <name val="Times New Roman"/>
      <family val="1"/>
    </font>
    <font>
      <sz val="10"/>
      <color theme="1"/>
      <name val="Cambria"/>
      <family val="1"/>
    </font>
  </fonts>
  <fills count="8">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5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thin">
        <color indexed="64"/>
      </right>
      <top style="thin">
        <color rgb="FF000000"/>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rgb="FF000000"/>
      </bottom>
      <diagonal/>
    </border>
    <border>
      <left/>
      <right/>
      <top style="thin">
        <color rgb="FF000000"/>
      </top>
      <bottom style="thin">
        <color indexed="64"/>
      </bottom>
      <diagonal/>
    </border>
    <border>
      <left style="thin">
        <color indexed="64"/>
      </left>
      <right style="thin">
        <color indexed="64"/>
      </right>
      <top style="medium">
        <color indexed="64"/>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style="medium">
        <color indexed="64"/>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right style="thin">
        <color theme="0" tint="-0.14996795556505021"/>
      </right>
      <top/>
      <bottom style="thin">
        <color theme="0" tint="-0.14996795556505021"/>
      </bottom>
      <diagonal/>
    </border>
    <border>
      <left/>
      <right style="thin">
        <color indexed="64"/>
      </right>
      <top style="hair">
        <color indexed="64"/>
      </top>
      <bottom/>
      <diagonal/>
    </border>
  </borders>
  <cellStyleXfs count="1">
    <xf numFmtId="0" fontId="0" fillId="0" borderId="0"/>
  </cellStyleXfs>
  <cellXfs count="575">
    <xf numFmtId="0" fontId="0" fillId="0" borderId="0" xfId="0"/>
    <xf numFmtId="164" fontId="2" fillId="0" borderId="8" xfId="0" applyNumberFormat="1" applyFont="1" applyBorder="1" applyAlignment="1">
      <alignment horizontal="right" vertical="top"/>
    </xf>
    <xf numFmtId="0" fontId="2" fillId="0" borderId="8" xfId="0" applyFont="1" applyBorder="1" applyAlignment="1">
      <alignment horizontal="left" vertical="top"/>
    </xf>
    <xf numFmtId="164" fontId="2" fillId="0" borderId="0" xfId="0" applyNumberFormat="1" applyFont="1" applyAlignment="1">
      <alignment horizontal="right" vertical="top"/>
    </xf>
    <xf numFmtId="0" fontId="2" fillId="0" borderId="0" xfId="0" applyFont="1" applyAlignment="1">
      <alignment horizontal="left" vertical="top"/>
    </xf>
    <xf numFmtId="0" fontId="0" fillId="0" borderId="0" xfId="0" applyAlignment="1">
      <alignment vertical="top"/>
    </xf>
    <xf numFmtId="164" fontId="2" fillId="0" borderId="1" xfId="0" applyNumberFormat="1" applyFont="1" applyBorder="1" applyAlignment="1">
      <alignment horizontal="right" vertical="top" wrapText="1"/>
    </xf>
    <xf numFmtId="164" fontId="2" fillId="0" borderId="16" xfId="0" applyNumberFormat="1" applyFont="1" applyBorder="1" applyAlignment="1">
      <alignment horizontal="right" vertical="top" wrapText="1"/>
    </xf>
    <xf numFmtId="0" fontId="2" fillId="0" borderId="2" xfId="0" applyFont="1" applyBorder="1" applyAlignment="1">
      <alignment horizontal="left" vertical="top"/>
    </xf>
    <xf numFmtId="0" fontId="2" fillId="0" borderId="10" xfId="0" applyFont="1" applyBorder="1" applyAlignment="1">
      <alignment horizontal="left" vertical="top"/>
    </xf>
    <xf numFmtId="164" fontId="2" fillId="0" borderId="12" xfId="0" applyNumberFormat="1" applyFont="1" applyBorder="1" applyAlignment="1">
      <alignment horizontal="right" vertical="top" wrapText="1"/>
    </xf>
    <xf numFmtId="0" fontId="2" fillId="0" borderId="0" xfId="0" applyFont="1" applyAlignment="1">
      <alignment vertical="top"/>
    </xf>
    <xf numFmtId="164" fontId="2" fillId="0" borderId="0" xfId="0" applyNumberFormat="1" applyFont="1" applyAlignment="1">
      <alignment horizontal="left" vertical="top"/>
    </xf>
    <xf numFmtId="164" fontId="2" fillId="0" borderId="24" xfId="0" applyNumberFormat="1" applyFont="1" applyBorder="1" applyAlignment="1">
      <alignment horizontal="left" vertical="top" wrapText="1"/>
    </xf>
    <xf numFmtId="0" fontId="2" fillId="0" borderId="22" xfId="0" applyFont="1" applyBorder="1" applyAlignment="1">
      <alignment horizontal="left" vertical="top" wrapText="1"/>
    </xf>
    <xf numFmtId="164" fontId="2" fillId="0" borderId="6" xfId="0" applyNumberFormat="1" applyFont="1" applyBorder="1" applyAlignment="1">
      <alignment horizontal="left" vertical="top" wrapText="1"/>
    </xf>
    <xf numFmtId="0" fontId="1" fillId="0" borderId="0" xfId="0" applyFont="1" applyAlignment="1">
      <alignment horizontal="left" vertical="top" wrapText="1"/>
    </xf>
    <xf numFmtId="0" fontId="5" fillId="0" borderId="0" xfId="0" applyFont="1" applyAlignment="1">
      <alignment horizontal="left" vertical="top" wrapText="1"/>
    </xf>
    <xf numFmtId="164" fontId="2" fillId="0" borderId="2" xfId="0" applyNumberFormat="1" applyFont="1" applyBorder="1" applyAlignment="1">
      <alignment horizontal="left" vertical="top"/>
    </xf>
    <xf numFmtId="0" fontId="2" fillId="0" borderId="9" xfId="0" applyFont="1" applyBorder="1" applyAlignment="1">
      <alignment vertical="top" wrapText="1"/>
    </xf>
    <xf numFmtId="0" fontId="2" fillId="0" borderId="17" xfId="0" applyFont="1" applyBorder="1" applyAlignment="1">
      <alignment vertical="top"/>
    </xf>
    <xf numFmtId="0" fontId="2" fillId="0" borderId="14" xfId="0" applyFont="1" applyBorder="1" applyAlignment="1">
      <alignment vertical="top"/>
    </xf>
    <xf numFmtId="0" fontId="2" fillId="0" borderId="22" xfId="0" applyFont="1" applyBorder="1" applyAlignment="1">
      <alignment vertical="top" wrapText="1"/>
    </xf>
    <xf numFmtId="0" fontId="0" fillId="0" borderId="0" xfId="0" applyAlignment="1">
      <alignment horizontal="right" vertical="top"/>
    </xf>
    <xf numFmtId="164" fontId="2" fillId="0" borderId="8" xfId="0" applyNumberFormat="1" applyFont="1" applyBorder="1" applyAlignment="1">
      <alignment horizontal="right" vertical="top" wrapText="1"/>
    </xf>
    <xf numFmtId="164" fontId="2" fillId="0" borderId="0" xfId="0" applyNumberFormat="1" applyFont="1" applyAlignment="1">
      <alignment horizontal="right" vertical="top" wrapText="1"/>
    </xf>
    <xf numFmtId="164" fontId="2" fillId="0" borderId="17" xfId="0" applyNumberFormat="1" applyFont="1" applyBorder="1" applyAlignment="1">
      <alignment horizontal="right" vertical="top" wrapText="1"/>
    </xf>
    <xf numFmtId="164" fontId="2" fillId="0" borderId="1" xfId="0" applyNumberFormat="1" applyFont="1" applyBorder="1" applyAlignment="1">
      <alignment horizontal="right" vertical="top"/>
    </xf>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2" fillId="0" borderId="12" xfId="0" applyFont="1" applyBorder="1" applyAlignment="1">
      <alignment horizontal="right" vertical="top"/>
    </xf>
    <xf numFmtId="0" fontId="2" fillId="0" borderId="16" xfId="0" applyFont="1" applyBorder="1" applyAlignment="1">
      <alignment horizontal="right" vertical="top"/>
    </xf>
    <xf numFmtId="164" fontId="2" fillId="0" borderId="6" xfId="0" applyNumberFormat="1" applyFont="1" applyBorder="1" applyAlignment="1">
      <alignment horizontal="left" vertical="top"/>
    </xf>
    <xf numFmtId="0" fontId="2" fillId="0" borderId="9" xfId="0" applyFont="1" applyBorder="1" applyAlignment="1">
      <alignment horizontal="left" vertical="top"/>
    </xf>
    <xf numFmtId="0" fontId="2" fillId="0" borderId="13" xfId="0" applyFont="1" applyBorder="1" applyAlignment="1">
      <alignment horizontal="left" vertical="top"/>
    </xf>
    <xf numFmtId="164" fontId="2" fillId="0" borderId="26" xfId="0" applyNumberFormat="1" applyFont="1" applyBorder="1" applyAlignment="1">
      <alignment horizontal="left" vertical="top" wrapText="1"/>
    </xf>
    <xf numFmtId="164" fontId="2" fillId="0" borderId="22" xfId="0" applyNumberFormat="1" applyFont="1" applyBorder="1" applyAlignment="1">
      <alignment horizontal="left" vertical="top" wrapText="1"/>
    </xf>
    <xf numFmtId="164" fontId="2" fillId="0" borderId="8" xfId="0" applyNumberFormat="1" applyFont="1" applyBorder="1" applyAlignment="1">
      <alignment horizontal="right" vertical="center" wrapText="1"/>
    </xf>
    <xf numFmtId="164" fontId="2" fillId="0" borderId="3" xfId="0" applyNumberFormat="1" applyFont="1" applyBorder="1" applyAlignment="1">
      <alignment horizontal="left" vertical="top"/>
    </xf>
    <xf numFmtId="164" fontId="2" fillId="0" borderId="9" xfId="0" applyNumberFormat="1" applyFont="1" applyBorder="1" applyAlignment="1">
      <alignment horizontal="left" vertical="top" wrapText="1"/>
    </xf>
    <xf numFmtId="164" fontId="2" fillId="0" borderId="13" xfId="0" applyNumberFormat="1" applyFont="1" applyBorder="1" applyAlignment="1">
      <alignment horizontal="left" vertical="top" wrapText="1"/>
    </xf>
    <xf numFmtId="0" fontId="2" fillId="0" borderId="9" xfId="0" applyFont="1" applyBorder="1" applyAlignment="1">
      <alignment vertical="top"/>
    </xf>
    <xf numFmtId="0" fontId="2" fillId="0" borderId="13" xfId="0" applyFont="1" applyBorder="1" applyAlignment="1">
      <alignment vertical="top"/>
    </xf>
    <xf numFmtId="164" fontId="2" fillId="0" borderId="22" xfId="0" applyNumberFormat="1" applyFont="1" applyBorder="1" applyAlignment="1">
      <alignment horizontal="left" vertical="top"/>
    </xf>
    <xf numFmtId="0" fontId="1" fillId="0" borderId="0" xfId="0" applyFont="1" applyAlignment="1">
      <alignment horizontal="left" vertical="center" wrapText="1"/>
    </xf>
    <xf numFmtId="164" fontId="2" fillId="0" borderId="4" xfId="0" applyNumberFormat="1" applyFont="1" applyBorder="1" applyAlignment="1">
      <alignment horizontal="right" vertical="top"/>
    </xf>
    <xf numFmtId="164" fontId="2" fillId="0" borderId="12" xfId="0" applyNumberFormat="1" applyFont="1" applyBorder="1" applyAlignment="1">
      <alignment horizontal="right" vertical="top"/>
    </xf>
    <xf numFmtId="164" fontId="2" fillId="0" borderId="10" xfId="0" applyNumberFormat="1" applyFont="1" applyBorder="1" applyAlignment="1">
      <alignment horizontal="left" vertical="top"/>
    </xf>
    <xf numFmtId="164" fontId="2" fillId="0" borderId="16" xfId="0" applyNumberFormat="1" applyFont="1" applyBorder="1" applyAlignment="1">
      <alignment horizontal="right" vertical="top"/>
    </xf>
    <xf numFmtId="0" fontId="2" fillId="0" borderId="3" xfId="0" applyFont="1" applyBorder="1" applyAlignment="1">
      <alignment vertical="top" wrapText="1"/>
    </xf>
    <xf numFmtId="0" fontId="2" fillId="0" borderId="2" xfId="0" applyFont="1" applyBorder="1" applyAlignment="1">
      <alignment vertical="top" wrapText="1"/>
    </xf>
    <xf numFmtId="0" fontId="2" fillId="0" borderId="1" xfId="0" applyFont="1" applyBorder="1" applyAlignment="1">
      <alignment vertical="center" wrapText="1"/>
    </xf>
    <xf numFmtId="0" fontId="2" fillId="0" borderId="5" xfId="0" applyFont="1" applyBorder="1" applyAlignment="1">
      <alignment horizontal="left" vertical="center" wrapText="1"/>
    </xf>
    <xf numFmtId="0" fontId="2" fillId="0" borderId="4" xfId="0" applyFont="1" applyBorder="1" applyAlignment="1">
      <alignment vertical="top" wrapText="1"/>
    </xf>
    <xf numFmtId="164" fontId="2" fillId="0" borderId="1" xfId="0" applyNumberFormat="1" applyFont="1" applyBorder="1" applyAlignment="1">
      <alignment vertical="top" wrapText="1"/>
    </xf>
    <xf numFmtId="0" fontId="2" fillId="0" borderId="10" xfId="0" applyFont="1" applyBorder="1" applyAlignment="1">
      <alignment vertical="top" wrapText="1"/>
    </xf>
    <xf numFmtId="0" fontId="2" fillId="0" borderId="10" xfId="0" applyFont="1" applyBorder="1" applyAlignment="1">
      <alignment vertical="center" wrapText="1"/>
    </xf>
    <xf numFmtId="0" fontId="2" fillId="0" borderId="14" xfId="0" applyFont="1" applyBorder="1" applyAlignment="1">
      <alignment vertical="top" wrapText="1"/>
    </xf>
    <xf numFmtId="0" fontId="2" fillId="0" borderId="12" xfId="0" applyFont="1" applyBorder="1" applyAlignment="1">
      <alignment vertical="top" wrapText="1"/>
    </xf>
    <xf numFmtId="0" fontId="2" fillId="0" borderId="16" xfId="0" applyFont="1" applyBorder="1" applyAlignment="1">
      <alignment vertical="top" wrapText="1"/>
    </xf>
    <xf numFmtId="0" fontId="2" fillId="0" borderId="1" xfId="0" applyFont="1" applyBorder="1" applyAlignment="1">
      <alignment vertical="top" wrapText="1"/>
    </xf>
    <xf numFmtId="0" fontId="2" fillId="0" borderId="0" xfId="0" applyFont="1" applyAlignment="1">
      <alignment vertical="top" wrapText="1"/>
    </xf>
    <xf numFmtId="0" fontId="10" fillId="0" borderId="1" xfId="0" applyFont="1" applyBorder="1" applyAlignment="1">
      <alignment horizontal="left" vertical="top"/>
    </xf>
    <xf numFmtId="0" fontId="10" fillId="0" borderId="12" xfId="0" applyFont="1" applyBorder="1" applyAlignment="1">
      <alignment horizontal="left" vertical="top"/>
    </xf>
    <xf numFmtId="0" fontId="4" fillId="0" borderId="0" xfId="0" applyFont="1" applyAlignment="1">
      <alignment horizontal="center" vertical="top" wrapText="1"/>
    </xf>
    <xf numFmtId="164" fontId="2" fillId="0" borderId="5" xfId="0" applyNumberFormat="1" applyFont="1" applyBorder="1" applyAlignment="1">
      <alignment horizontal="left" vertical="top" wrapText="1"/>
    </xf>
    <xf numFmtId="0" fontId="2" fillId="0" borderId="1" xfId="0" applyFont="1" applyBorder="1" applyAlignment="1">
      <alignment horizontal="center" vertical="top"/>
    </xf>
    <xf numFmtId="0" fontId="2" fillId="0" borderId="8" xfId="0" applyFont="1" applyBorder="1" applyAlignment="1">
      <alignment horizontal="center" vertical="top"/>
    </xf>
    <xf numFmtId="0" fontId="2" fillId="0" borderId="12" xfId="0" applyFont="1" applyBorder="1" applyAlignment="1">
      <alignment horizontal="center" vertical="top"/>
    </xf>
    <xf numFmtId="0" fontId="2" fillId="0" borderId="0" xfId="0" applyFont="1" applyAlignment="1">
      <alignment horizontal="center" vertical="top"/>
    </xf>
    <xf numFmtId="0" fontId="2" fillId="0" borderId="16" xfId="0" applyFont="1" applyBorder="1" applyAlignment="1">
      <alignment horizontal="center" vertical="top"/>
    </xf>
    <xf numFmtId="164" fontId="2" fillId="0" borderId="36" xfId="0" applyNumberFormat="1" applyFont="1" applyBorder="1" applyAlignment="1">
      <alignment horizontal="right" vertical="top" wrapText="1"/>
    </xf>
    <xf numFmtId="0" fontId="10" fillId="0" borderId="16" xfId="0" applyFont="1" applyBorder="1" applyAlignment="1">
      <alignment vertical="top"/>
    </xf>
    <xf numFmtId="164" fontId="2" fillId="0" borderId="17" xfId="0" applyNumberFormat="1" applyFont="1" applyBorder="1"/>
    <xf numFmtId="0" fontId="10" fillId="0" borderId="12" xfId="0" applyFont="1" applyBorder="1" applyAlignment="1">
      <alignment vertical="top"/>
    </xf>
    <xf numFmtId="164" fontId="2" fillId="0" borderId="0" xfId="0" applyNumberFormat="1" applyFont="1" applyAlignment="1">
      <alignment vertical="top"/>
    </xf>
    <xf numFmtId="0" fontId="2" fillId="0" borderId="12" xfId="0" applyFont="1" applyBorder="1" applyAlignment="1">
      <alignment horizontal="center" vertical="top" wrapText="1"/>
    </xf>
    <xf numFmtId="0" fontId="2" fillId="0" borderId="16" xfId="0" applyFont="1" applyBorder="1" applyAlignment="1">
      <alignment horizontal="center" vertical="top" wrapText="1"/>
    </xf>
    <xf numFmtId="0" fontId="2" fillId="0" borderId="17" xfId="0" applyFont="1" applyBorder="1"/>
    <xf numFmtId="0" fontId="2" fillId="0" borderId="0" xfId="0" applyFont="1"/>
    <xf numFmtId="0" fontId="3" fillId="0" borderId="0" xfId="0" applyFont="1" applyAlignment="1">
      <alignment vertical="center" wrapText="1"/>
    </xf>
    <xf numFmtId="0" fontId="6" fillId="0" borderId="0" xfId="0" applyFont="1" applyAlignment="1">
      <alignment vertical="center" wrapText="1"/>
    </xf>
    <xf numFmtId="164" fontId="2" fillId="0" borderId="1" xfId="0" applyNumberFormat="1" applyFont="1" applyBorder="1" applyAlignment="1">
      <alignment horizontal="left" vertical="center" wrapText="1"/>
    </xf>
    <xf numFmtId="0" fontId="7" fillId="0" borderId="22" xfId="0" applyFont="1" applyBorder="1" applyAlignment="1">
      <alignment horizontal="center" vertical="center" wrapText="1"/>
    </xf>
    <xf numFmtId="0" fontId="2" fillId="0" borderId="22" xfId="0" applyFont="1" applyBorder="1" applyAlignment="1">
      <alignment horizontal="center" vertical="center" wrapText="1"/>
    </xf>
    <xf numFmtId="0" fontId="15" fillId="0" borderId="0" xfId="0" applyFont="1" applyAlignment="1">
      <alignment horizontal="right"/>
    </xf>
    <xf numFmtId="0" fontId="12" fillId="0" borderId="22" xfId="0" applyFont="1" applyBorder="1" applyAlignment="1">
      <alignment vertical="center" wrapText="1"/>
    </xf>
    <xf numFmtId="0" fontId="12" fillId="0" borderId="22" xfId="0" applyFont="1" applyBorder="1" applyAlignment="1">
      <alignment horizontal="center" vertical="center" wrapText="1"/>
    </xf>
    <xf numFmtId="0" fontId="2" fillId="0" borderId="0" xfId="0" applyFont="1" applyAlignment="1">
      <alignment horizontal="right"/>
    </xf>
    <xf numFmtId="0" fontId="12" fillId="0" borderId="0" xfId="0" applyFont="1" applyAlignment="1">
      <alignment vertical="center" wrapText="1"/>
    </xf>
    <xf numFmtId="0" fontId="2" fillId="0" borderId="17" xfId="0" applyFont="1" applyBorder="1" applyAlignment="1">
      <alignment horizontal="center" vertical="top"/>
    </xf>
    <xf numFmtId="0" fontId="2" fillId="2" borderId="12" xfId="0" applyFont="1" applyFill="1" applyBorder="1" applyAlignment="1">
      <alignment horizontal="center" vertical="top" wrapText="1"/>
    </xf>
    <xf numFmtId="164" fontId="2" fillId="2" borderId="12" xfId="0" applyNumberFormat="1" applyFont="1" applyFill="1" applyBorder="1" applyAlignment="1">
      <alignment horizontal="center" vertical="top"/>
    </xf>
    <xf numFmtId="0" fontId="7" fillId="0" borderId="0" xfId="0" applyFont="1" applyAlignment="1">
      <alignment vertical="top" wrapText="1"/>
    </xf>
    <xf numFmtId="0" fontId="2" fillId="2" borderId="30" xfId="0" applyFont="1" applyFill="1" applyBorder="1" applyAlignment="1">
      <alignment horizontal="center" vertical="top" wrapText="1"/>
    </xf>
    <xf numFmtId="164" fontId="2" fillId="0" borderId="14" xfId="0" applyNumberFormat="1" applyFont="1" applyBorder="1" applyAlignment="1">
      <alignment horizontal="left" vertical="top" wrapText="1"/>
    </xf>
    <xf numFmtId="0" fontId="2" fillId="0" borderId="2" xfId="0" applyFont="1" applyBorder="1" applyAlignment="1">
      <alignment horizontal="center" vertical="top"/>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164" fontId="2" fillId="0" borderId="1" xfId="0" applyNumberFormat="1" applyFont="1" applyBorder="1" applyAlignment="1">
      <alignment horizontal="left" vertical="top" wrapText="1"/>
    </xf>
    <xf numFmtId="164" fontId="2" fillId="0" borderId="12" xfId="0" applyNumberFormat="1" applyFont="1" applyBorder="1" applyAlignment="1">
      <alignment horizontal="left" vertical="top" wrapText="1"/>
    </xf>
    <xf numFmtId="0" fontId="2" fillId="0" borderId="12" xfId="0" applyFont="1" applyBorder="1"/>
    <xf numFmtId="164" fontId="2" fillId="0" borderId="0" xfId="0" applyNumberFormat="1" applyFont="1" applyAlignment="1">
      <alignment horizontal="left"/>
    </xf>
    <xf numFmtId="0" fontId="17" fillId="2" borderId="4" xfId="0" applyFont="1" applyFill="1" applyBorder="1"/>
    <xf numFmtId="0" fontId="2" fillId="0" borderId="2" xfId="0" applyFont="1" applyBorder="1" applyAlignment="1">
      <alignment vertical="top"/>
    </xf>
    <xf numFmtId="0" fontId="17" fillId="0" borderId="12" xfId="0" applyFont="1" applyBorder="1"/>
    <xf numFmtId="0" fontId="17" fillId="0" borderId="16" xfId="0" applyFont="1" applyBorder="1"/>
    <xf numFmtId="0" fontId="16" fillId="6" borderId="17" xfId="0" applyFont="1" applyFill="1" applyBorder="1" applyAlignment="1">
      <alignment horizontal="left" vertical="top" wrapText="1"/>
    </xf>
    <xf numFmtId="164" fontId="2" fillId="0" borderId="3" xfId="0" applyNumberFormat="1" applyFont="1" applyBorder="1" applyAlignment="1">
      <alignment horizontal="left" vertical="top" wrapText="1"/>
    </xf>
    <xf numFmtId="164" fontId="2" fillId="0" borderId="8" xfId="0" applyNumberFormat="1" applyFont="1" applyBorder="1" applyAlignment="1">
      <alignment horizontal="center" vertical="top"/>
    </xf>
    <xf numFmtId="0" fontId="2" fillId="0" borderId="47" xfId="0" applyFont="1" applyBorder="1" applyAlignment="1">
      <alignment horizontal="left" vertical="center" wrapText="1"/>
    </xf>
    <xf numFmtId="0" fontId="1" fillId="2" borderId="22" xfId="0" applyFont="1" applyFill="1" applyBorder="1" applyAlignment="1">
      <alignment vertical="top" wrapText="1"/>
    </xf>
    <xf numFmtId="0" fontId="2" fillId="0" borderId="0" xfId="0" applyFont="1" applyAlignment="1">
      <alignment horizontal="right" vertical="top"/>
    </xf>
    <xf numFmtId="164" fontId="2" fillId="0" borderId="10" xfId="0" applyNumberFormat="1" applyFont="1" applyBorder="1" applyAlignment="1">
      <alignment horizontal="left" vertical="top" wrapText="1"/>
    </xf>
    <xf numFmtId="164" fontId="2" fillId="0" borderId="4" xfId="0" applyNumberFormat="1" applyFont="1" applyBorder="1" applyAlignment="1">
      <alignment horizontal="right" vertical="top" wrapText="1"/>
    </xf>
    <xf numFmtId="0" fontId="2" fillId="0" borderId="1" xfId="0" applyFont="1" applyBorder="1"/>
    <xf numFmtId="0" fontId="2" fillId="0" borderId="8" xfId="0" applyFont="1" applyBorder="1" applyAlignment="1">
      <alignment horizontal="left"/>
    </xf>
    <xf numFmtId="164" fontId="2" fillId="0" borderId="0" xfId="0" applyNumberFormat="1" applyFont="1" applyAlignment="1">
      <alignment horizontal="left" vertical="center" wrapText="1"/>
    </xf>
    <xf numFmtId="164" fontId="2" fillId="0" borderId="18" xfId="0" applyNumberFormat="1" applyFont="1" applyBorder="1" applyAlignment="1">
      <alignment horizontal="right" vertical="top" wrapText="1"/>
    </xf>
    <xf numFmtId="164" fontId="2" fillId="0" borderId="19" xfId="0" applyNumberFormat="1" applyFont="1" applyBorder="1" applyAlignment="1">
      <alignment horizontal="right" vertical="top" wrapText="1"/>
    </xf>
    <xf numFmtId="164" fontId="2" fillId="0" borderId="20" xfId="0" applyNumberFormat="1" applyFont="1" applyBorder="1" applyAlignment="1">
      <alignment horizontal="right" vertical="top" wrapText="1"/>
    </xf>
    <xf numFmtId="0" fontId="2" fillId="0" borderId="10" xfId="0" applyFont="1" applyBorder="1" applyAlignment="1">
      <alignment horizontal="center" vertical="top"/>
    </xf>
    <xf numFmtId="0" fontId="2" fillId="0" borderId="14" xfId="0" applyFont="1" applyBorder="1" applyAlignment="1">
      <alignment horizontal="center" vertical="top"/>
    </xf>
    <xf numFmtId="0" fontId="10" fillId="0" borderId="1" xfId="0" applyFont="1" applyBorder="1" applyAlignment="1">
      <alignment vertical="top"/>
    </xf>
    <xf numFmtId="0" fontId="2" fillId="0" borderId="4" xfId="0" applyFont="1" applyBorder="1" applyAlignment="1">
      <alignment horizontal="center" vertical="top"/>
    </xf>
    <xf numFmtId="0" fontId="2" fillId="0" borderId="6" xfId="0" applyFont="1" applyBorder="1" applyAlignment="1">
      <alignment horizontal="center" vertical="top"/>
    </xf>
    <xf numFmtId="164" fontId="2" fillId="0" borderId="12" xfId="0" applyNumberFormat="1" applyFont="1" applyBorder="1" applyAlignment="1">
      <alignment horizontal="left" vertical="center" wrapText="1"/>
    </xf>
    <xf numFmtId="164" fontId="2" fillId="0" borderId="16" xfId="0" applyNumberFormat="1" applyFont="1" applyBorder="1" applyAlignment="1">
      <alignment horizontal="left" vertical="center" wrapText="1"/>
    </xf>
    <xf numFmtId="164" fontId="2" fillId="0" borderId="16" xfId="0" applyNumberFormat="1" applyFont="1" applyBorder="1" applyAlignment="1">
      <alignment horizontal="left" vertical="top" wrapText="1"/>
    </xf>
    <xf numFmtId="0" fontId="2" fillId="0" borderId="0" xfId="0" applyFont="1" applyAlignment="1">
      <alignment horizontal="left" vertical="center" wrapText="1"/>
    </xf>
    <xf numFmtId="0" fontId="2" fillId="0" borderId="17" xfId="0" applyFont="1" applyBorder="1" applyAlignment="1">
      <alignment horizontal="left" vertical="center" wrapText="1"/>
    </xf>
    <xf numFmtId="0" fontId="2" fillId="0" borderId="8" xfId="0" applyFont="1" applyBorder="1" applyAlignment="1">
      <alignment horizontal="left" vertical="center" wrapText="1"/>
    </xf>
    <xf numFmtId="164" fontId="2" fillId="0" borderId="10" xfId="0" applyNumberFormat="1" applyFont="1" applyBorder="1" applyAlignment="1">
      <alignment horizontal="center" vertical="top" wrapText="1"/>
    </xf>
    <xf numFmtId="0" fontId="16" fillId="6" borderId="0" xfId="0" applyFont="1" applyFill="1" applyAlignment="1">
      <alignment horizontal="left" vertical="top" wrapText="1"/>
    </xf>
    <xf numFmtId="0" fontId="2" fillId="0" borderId="12" xfId="0" applyFont="1" applyBorder="1" applyAlignment="1">
      <alignment horizontal="left" vertical="top"/>
    </xf>
    <xf numFmtId="0" fontId="2" fillId="0" borderId="16" xfId="0" applyFont="1" applyBorder="1" applyAlignment="1">
      <alignment horizontal="left" vertical="top"/>
    </xf>
    <xf numFmtId="0" fontId="2" fillId="0" borderId="12" xfId="0" applyFont="1" applyBorder="1" applyAlignment="1">
      <alignment vertical="top"/>
    </xf>
    <xf numFmtId="0" fontId="17" fillId="0" borderId="2" xfId="0" applyFont="1" applyBorder="1" applyAlignment="1">
      <alignment horizontal="left" vertical="top"/>
    </xf>
    <xf numFmtId="0" fontId="17" fillId="0" borderId="10" xfId="0" applyFont="1" applyBorder="1" applyAlignment="1">
      <alignment horizontal="left" vertical="top"/>
    </xf>
    <xf numFmtId="0" fontId="17" fillId="0" borderId="14" xfId="0" applyFont="1" applyBorder="1" applyAlignment="1">
      <alignment horizontal="left" vertical="top"/>
    </xf>
    <xf numFmtId="0" fontId="17" fillId="0" borderId="6" xfId="0" applyFont="1" applyBorder="1" applyAlignment="1">
      <alignment horizontal="left" vertical="top"/>
    </xf>
    <xf numFmtId="0" fontId="17" fillId="0" borderId="16" xfId="0" applyFont="1" applyBorder="1" applyAlignment="1">
      <alignment horizontal="left" vertical="top"/>
    </xf>
    <xf numFmtId="0" fontId="2" fillId="0" borderId="1" xfId="0" applyFont="1" applyBorder="1" applyAlignment="1">
      <alignment horizontal="left" vertical="top"/>
    </xf>
    <xf numFmtId="0" fontId="2" fillId="0" borderId="4" xfId="0" applyFont="1" applyBorder="1" applyAlignment="1">
      <alignment horizontal="left" vertical="top"/>
    </xf>
    <xf numFmtId="0" fontId="2" fillId="0" borderId="6" xfId="0" applyFont="1" applyBorder="1" applyAlignment="1">
      <alignment horizontal="left" vertical="top"/>
    </xf>
    <xf numFmtId="0" fontId="17" fillId="0" borderId="1" xfId="0" applyFont="1" applyBorder="1" applyAlignment="1">
      <alignment horizontal="left" vertical="top"/>
    </xf>
    <xf numFmtId="0" fontId="17" fillId="0" borderId="12" xfId="0" applyFont="1" applyBorder="1" applyAlignment="1">
      <alignment horizontal="left" vertical="top"/>
    </xf>
    <xf numFmtId="164" fontId="2" fillId="0" borderId="16" xfId="0" applyNumberFormat="1" applyFont="1" applyBorder="1" applyAlignment="1">
      <alignment vertical="top" wrapText="1"/>
    </xf>
    <xf numFmtId="164" fontId="17" fillId="0" borderId="2" xfId="0" applyNumberFormat="1" applyFont="1" applyBorder="1" applyAlignment="1">
      <alignment horizontal="left" vertical="top" wrapText="1"/>
    </xf>
    <xf numFmtId="0" fontId="1" fillId="0" borderId="13" xfId="0" applyFont="1" applyBorder="1" applyAlignment="1">
      <alignment vertical="top" wrapText="1"/>
    </xf>
    <xf numFmtId="0" fontId="2" fillId="0" borderId="2" xfId="0" applyFont="1" applyBorder="1" applyAlignment="1">
      <alignment horizontal="left"/>
    </xf>
    <xf numFmtId="0" fontId="2" fillId="0" borderId="10" xfId="0" applyFont="1" applyBorder="1" applyAlignment="1">
      <alignment horizontal="left"/>
    </xf>
    <xf numFmtId="164" fontId="2" fillId="0" borderId="1" xfId="0" applyNumberFormat="1" applyFont="1" applyBorder="1" applyAlignment="1">
      <alignment horizontal="right"/>
    </xf>
    <xf numFmtId="164" fontId="2" fillId="0" borderId="12" xfId="0" applyNumberFormat="1" applyFont="1" applyBorder="1" applyAlignment="1">
      <alignment horizontal="right"/>
    </xf>
    <xf numFmtId="0" fontId="16" fillId="0" borderId="1" xfId="0" applyFont="1" applyBorder="1" applyAlignment="1">
      <alignment horizontal="right" vertical="top"/>
    </xf>
    <xf numFmtId="0" fontId="16" fillId="0" borderId="12" xfId="0" applyFont="1" applyBorder="1" applyAlignment="1">
      <alignment horizontal="right" vertical="top"/>
    </xf>
    <xf numFmtId="0" fontId="2" fillId="0" borderId="30" xfId="0" applyFont="1" applyBorder="1" applyAlignment="1">
      <alignment vertical="center" wrapText="1"/>
    </xf>
    <xf numFmtId="0" fontId="16" fillId="6" borderId="12" xfId="0" applyFont="1" applyFill="1" applyBorder="1" applyAlignment="1">
      <alignment horizontal="left" vertical="top" wrapText="1"/>
    </xf>
    <xf numFmtId="0" fontId="2" fillId="0" borderId="10" xfId="0" applyFont="1" applyBorder="1"/>
    <xf numFmtId="0" fontId="2" fillId="0" borderId="16" xfId="0" applyFont="1" applyBorder="1"/>
    <xf numFmtId="0" fontId="2" fillId="0" borderId="14" xfId="0" applyFont="1" applyBorder="1"/>
    <xf numFmtId="164" fontId="1" fillId="0" borderId="0" xfId="0" applyNumberFormat="1" applyFont="1" applyAlignment="1">
      <alignment horizontal="left" vertical="top" wrapText="1"/>
    </xf>
    <xf numFmtId="164" fontId="2" fillId="0" borderId="8" xfId="0" applyNumberFormat="1" applyFont="1" applyBorder="1" applyAlignment="1">
      <alignment vertical="top" wrapText="1"/>
    </xf>
    <xf numFmtId="164" fontId="2" fillId="0" borderId="17" xfId="0" applyNumberFormat="1" applyFont="1" applyBorder="1" applyAlignment="1">
      <alignment vertical="top" wrapText="1"/>
    </xf>
    <xf numFmtId="0" fontId="6" fillId="0" borderId="1" xfId="0" applyFont="1" applyBorder="1" applyAlignment="1">
      <alignment horizontal="right" vertical="top" wrapText="1"/>
    </xf>
    <xf numFmtId="0" fontId="6" fillId="0" borderId="12" xfId="0" applyFont="1" applyBorder="1" applyAlignment="1">
      <alignment horizontal="right" vertical="top" wrapText="1"/>
    </xf>
    <xf numFmtId="0" fontId="6" fillId="0" borderId="16" xfId="0" applyFont="1" applyBorder="1" applyAlignment="1">
      <alignment horizontal="right" vertical="top" wrapText="1"/>
    </xf>
    <xf numFmtId="0" fontId="6" fillId="0" borderId="17" xfId="0" applyFont="1" applyBorder="1" applyAlignment="1">
      <alignment horizontal="left" vertical="top" wrapText="1"/>
    </xf>
    <xf numFmtId="0" fontId="6" fillId="0" borderId="14" xfId="0" applyFont="1" applyBorder="1" applyAlignment="1">
      <alignment horizontal="left" vertical="top" wrapText="1"/>
    </xf>
    <xf numFmtId="0" fontId="2" fillId="0" borderId="5" xfId="0" applyFont="1" applyBorder="1" applyAlignment="1">
      <alignment horizontal="center" vertical="top"/>
    </xf>
    <xf numFmtId="0" fontId="17" fillId="0" borderId="0" xfId="0" applyFont="1"/>
    <xf numFmtId="164" fontId="2" fillId="0" borderId="8" xfId="0" applyNumberFormat="1" applyFont="1" applyBorder="1" applyAlignment="1">
      <alignment horizontal="left" vertical="center" wrapText="1"/>
    </xf>
    <xf numFmtId="0" fontId="2" fillId="0" borderId="13" xfId="0" applyFont="1" applyBorder="1" applyAlignment="1">
      <alignment vertical="top" wrapText="1"/>
    </xf>
    <xf numFmtId="0" fontId="2" fillId="0" borderId="5" xfId="0" applyFont="1" applyBorder="1" applyAlignment="1">
      <alignment horizontal="left" vertical="top" wrapText="1"/>
    </xf>
    <xf numFmtId="0" fontId="2" fillId="0" borderId="5" xfId="0" applyFont="1" applyBorder="1" applyAlignment="1">
      <alignment vertical="top" wrapText="1"/>
    </xf>
    <xf numFmtId="0" fontId="2" fillId="0" borderId="22" xfId="0" applyFont="1" applyBorder="1" applyAlignment="1">
      <alignment horizontal="left" vertical="top"/>
    </xf>
    <xf numFmtId="0" fontId="2" fillId="0" borderId="22" xfId="0" applyFont="1" applyBorder="1" applyAlignment="1">
      <alignment vertical="center" wrapText="1"/>
    </xf>
    <xf numFmtId="164" fontId="2" fillId="0" borderId="3" xfId="0" applyNumberFormat="1" applyFont="1" applyBorder="1" applyAlignment="1">
      <alignment horizontal="left" vertical="center" wrapText="1"/>
    </xf>
    <xf numFmtId="0" fontId="2" fillId="0" borderId="0" xfId="0" applyFont="1" applyAlignment="1">
      <alignment horizontal="center" vertical="top" wrapText="1"/>
    </xf>
    <xf numFmtId="0" fontId="17" fillId="0" borderId="1" xfId="0" applyFont="1" applyBorder="1"/>
    <xf numFmtId="164" fontId="20" fillId="0" borderId="1" xfId="0" applyNumberFormat="1" applyFont="1" applyBorder="1" applyAlignment="1">
      <alignment horizontal="left" vertical="top" wrapText="1"/>
    </xf>
    <xf numFmtId="164" fontId="6" fillId="0" borderId="2" xfId="0" applyNumberFormat="1" applyFont="1" applyBorder="1" applyAlignment="1">
      <alignment horizontal="left" vertical="top" wrapText="1"/>
    </xf>
    <xf numFmtId="0" fontId="2" fillId="0" borderId="3" xfId="0" applyFont="1" applyBorder="1"/>
    <xf numFmtId="164" fontId="20" fillId="0" borderId="12" xfId="0" applyNumberFormat="1" applyFont="1" applyBorder="1" applyAlignment="1">
      <alignment horizontal="left" vertical="top" wrapText="1"/>
    </xf>
    <xf numFmtId="164" fontId="6" fillId="0" borderId="10" xfId="0" applyNumberFormat="1" applyFont="1" applyBorder="1" applyAlignment="1">
      <alignment horizontal="left" vertical="top" wrapText="1"/>
    </xf>
    <xf numFmtId="0" fontId="2" fillId="0" borderId="9" xfId="0" applyFont="1" applyBorder="1"/>
    <xf numFmtId="2" fontId="2" fillId="0" borderId="10" xfId="0" applyNumberFormat="1" applyFont="1" applyBorder="1" applyAlignment="1">
      <alignment horizontal="left" vertical="top" wrapText="1"/>
    </xf>
    <xf numFmtId="2" fontId="2" fillId="0" borderId="14" xfId="0" applyNumberFormat="1" applyFont="1" applyBorder="1" applyAlignment="1">
      <alignment horizontal="left" vertical="top" wrapText="1"/>
    </xf>
    <xf numFmtId="0" fontId="2" fillId="0" borderId="0" xfId="0" applyFont="1" applyAlignment="1">
      <alignment horizontal="left" vertical="top" wrapText="1"/>
    </xf>
    <xf numFmtId="0" fontId="1" fillId="0" borderId="3" xfId="0" applyFont="1" applyBorder="1" applyAlignment="1">
      <alignment vertical="top" wrapText="1"/>
    </xf>
    <xf numFmtId="0" fontId="2" fillId="0" borderId="2" xfId="0" applyFont="1" applyBorder="1"/>
    <xf numFmtId="0" fontId="2" fillId="0" borderId="8" xfId="0" applyFont="1" applyBorder="1" applyAlignment="1">
      <alignment vertical="center" wrapText="1"/>
    </xf>
    <xf numFmtId="0" fontId="2" fillId="0" borderId="2" xfId="0" applyFont="1" applyBorder="1" applyAlignment="1">
      <alignment wrapText="1"/>
    </xf>
    <xf numFmtId="0" fontId="2" fillId="0" borderId="12" xfId="0" applyFont="1" applyBorder="1" applyAlignment="1">
      <alignment vertical="center" wrapText="1"/>
    </xf>
    <xf numFmtId="0" fontId="2" fillId="0" borderId="10" xfId="0" applyFont="1" applyBorder="1" applyAlignment="1">
      <alignment wrapText="1"/>
    </xf>
    <xf numFmtId="0" fontId="2" fillId="5" borderId="12" xfId="0" applyFont="1" applyFill="1" applyBorder="1" applyAlignment="1">
      <alignment horizontal="left" vertical="top"/>
    </xf>
    <xf numFmtId="0" fontId="2" fillId="5" borderId="0" xfId="0" applyFont="1" applyFill="1" applyAlignment="1">
      <alignment vertical="top" wrapText="1"/>
    </xf>
    <xf numFmtId="0" fontId="1" fillId="5" borderId="13" xfId="0" applyFont="1" applyFill="1" applyBorder="1" applyAlignment="1">
      <alignment vertical="top" wrapText="1"/>
    </xf>
    <xf numFmtId="0" fontId="1" fillId="5" borderId="0" xfId="0" applyFont="1" applyFill="1" applyAlignment="1">
      <alignment vertical="top" wrapText="1"/>
    </xf>
    <xf numFmtId="0" fontId="2" fillId="5" borderId="0" xfId="0" applyFont="1" applyFill="1"/>
    <xf numFmtId="0" fontId="16" fillId="0" borderId="0" xfId="0" applyFont="1"/>
    <xf numFmtId="0" fontId="16" fillId="7" borderId="39" xfId="0" applyFont="1" applyFill="1" applyBorder="1" applyAlignment="1">
      <alignment horizontal="right" vertical="top"/>
    </xf>
    <xf numFmtId="0" fontId="2" fillId="7" borderId="40" xfId="0" applyFont="1" applyFill="1" applyBorder="1" applyAlignment="1">
      <alignment horizontal="left" vertical="top" wrapText="1"/>
    </xf>
    <xf numFmtId="0" fontId="1" fillId="7" borderId="39" xfId="0" applyFont="1" applyFill="1" applyBorder="1" applyAlignment="1">
      <alignment vertical="center" wrapText="1"/>
    </xf>
    <xf numFmtId="0" fontId="1" fillId="7" borderId="43" xfId="0" applyFont="1" applyFill="1" applyBorder="1" applyAlignment="1">
      <alignment horizontal="center" vertical="top" wrapText="1"/>
    </xf>
    <xf numFmtId="0" fontId="17" fillId="0" borderId="0" xfId="0" applyFont="1" applyAlignment="1">
      <alignment horizontal="center" vertical="top" wrapText="1"/>
    </xf>
    <xf numFmtId="0" fontId="16" fillId="0" borderId="16" xfId="0" applyFont="1" applyBorder="1" applyAlignment="1">
      <alignment horizontal="right" vertical="top"/>
    </xf>
    <xf numFmtId="0" fontId="16" fillId="0" borderId="0" xfId="0" applyFont="1" applyAlignment="1">
      <alignment horizontal="right" vertical="top"/>
    </xf>
    <xf numFmtId="0" fontId="16" fillId="7" borderId="27" xfId="0" applyFont="1" applyFill="1" applyBorder="1" applyAlignment="1">
      <alignment horizontal="right" vertical="top"/>
    </xf>
    <xf numFmtId="0" fontId="2" fillId="7" borderId="30" xfId="0" applyFont="1" applyFill="1" applyBorder="1" applyAlignment="1">
      <alignment horizontal="left" vertical="top" wrapText="1"/>
    </xf>
    <xf numFmtId="0" fontId="1" fillId="7" borderId="44" xfId="0" applyFont="1" applyFill="1" applyBorder="1" applyAlignment="1">
      <alignment horizontal="left" vertical="top" wrapText="1"/>
    </xf>
    <xf numFmtId="0" fontId="7" fillId="0" borderId="16" xfId="0" applyFont="1" applyBorder="1" applyAlignment="1">
      <alignment horizontal="left" vertical="top" wrapText="1"/>
    </xf>
    <xf numFmtId="0" fontId="17" fillId="0" borderId="9" xfId="0" applyFont="1" applyBorder="1"/>
    <xf numFmtId="0" fontId="2" fillId="0" borderId="12" xfId="0" applyFont="1" applyBorder="1" applyAlignment="1">
      <alignment horizontal="right"/>
    </xf>
    <xf numFmtId="0" fontId="2" fillId="0" borderId="16" xfId="0" applyFont="1" applyBorder="1" applyAlignment="1">
      <alignment horizontal="right"/>
    </xf>
    <xf numFmtId="0" fontId="2" fillId="0" borderId="14" xfId="0" applyFont="1" applyBorder="1" applyAlignment="1">
      <alignment horizontal="left"/>
    </xf>
    <xf numFmtId="0" fontId="2" fillId="0" borderId="16" xfId="0" applyFont="1" applyBorder="1" applyAlignment="1">
      <alignment vertical="top"/>
    </xf>
    <xf numFmtId="0" fontId="17" fillId="0" borderId="0" xfId="0" applyFont="1" applyAlignment="1">
      <alignment wrapText="1"/>
    </xf>
    <xf numFmtId="0" fontId="17" fillId="0" borderId="0" xfId="0" applyFont="1" applyAlignment="1">
      <alignment horizontal="right" vertical="top"/>
    </xf>
    <xf numFmtId="0" fontId="17" fillId="0" borderId="0" xfId="0" applyFont="1" applyAlignment="1">
      <alignment horizontal="left" vertical="top"/>
    </xf>
    <xf numFmtId="0" fontId="17" fillId="0" borderId="0" xfId="0" applyFont="1" applyAlignment="1">
      <alignment horizontal="right"/>
    </xf>
    <xf numFmtId="0" fontId="17" fillId="0" borderId="0" xfId="0" applyFont="1" applyAlignment="1">
      <alignment vertical="top"/>
    </xf>
    <xf numFmtId="0" fontId="17" fillId="0" borderId="2" xfId="0" applyFont="1" applyBorder="1"/>
    <xf numFmtId="0" fontId="21" fillId="0" borderId="55" xfId="0" applyFont="1" applyBorder="1" applyAlignment="1" applyProtection="1">
      <alignment vertical="top"/>
      <protection locked="0"/>
    </xf>
    <xf numFmtId="0" fontId="8" fillId="0" borderId="0" xfId="0" applyFont="1" applyAlignment="1">
      <alignment vertical="top" wrapText="1"/>
    </xf>
    <xf numFmtId="0" fontId="22" fillId="0" borderId="0" xfId="0" applyFont="1" applyAlignment="1">
      <alignment horizontal="center" vertical="top"/>
    </xf>
    <xf numFmtId="0" fontId="2" fillId="0" borderId="25" xfId="0" applyFont="1" applyBorder="1" applyAlignment="1">
      <alignment horizontal="left" vertical="top" wrapText="1"/>
    </xf>
    <xf numFmtId="0" fontId="2" fillId="0" borderId="23" xfId="0" applyFont="1" applyBorder="1" applyAlignment="1">
      <alignment vertical="top" wrapText="1"/>
    </xf>
    <xf numFmtId="0" fontId="1" fillId="0" borderId="0" xfId="0" applyFont="1" applyAlignment="1">
      <alignment horizontal="left" vertical="top"/>
    </xf>
    <xf numFmtId="164" fontId="2" fillId="0" borderId="4" xfId="0" applyNumberFormat="1" applyFont="1" applyBorder="1" applyAlignment="1">
      <alignment horizontal="center" vertical="top" wrapText="1"/>
    </xf>
    <xf numFmtId="164" fontId="2" fillId="0" borderId="5" xfId="0" applyNumberFormat="1" applyFont="1" applyBorder="1" applyAlignment="1">
      <alignment horizontal="center" vertical="top" wrapText="1"/>
    </xf>
    <xf numFmtId="0" fontId="17" fillId="0" borderId="10" xfId="0" applyFont="1" applyBorder="1" applyAlignment="1">
      <alignment horizontal="left"/>
    </xf>
    <xf numFmtId="0" fontId="2" fillId="0" borderId="45" xfId="0" applyFont="1" applyBorder="1" applyAlignment="1">
      <alignment horizontal="left" vertical="center" wrapText="1"/>
    </xf>
    <xf numFmtId="0" fontId="2" fillId="0" borderId="49" xfId="0" applyFont="1" applyBorder="1" applyAlignment="1">
      <alignment horizontal="left" vertical="center" wrapText="1"/>
    </xf>
    <xf numFmtId="0" fontId="17" fillId="0" borderId="2" xfId="0" applyFont="1" applyBorder="1" applyAlignment="1">
      <alignment horizontal="left"/>
    </xf>
    <xf numFmtId="0" fontId="17" fillId="0" borderId="16" xfId="0" applyFont="1" applyBorder="1" applyAlignment="1">
      <alignment horizontal="right"/>
    </xf>
    <xf numFmtId="0" fontId="17" fillId="0" borderId="14" xfId="0" applyFont="1" applyBorder="1" applyAlignment="1">
      <alignment horizontal="left"/>
    </xf>
    <xf numFmtId="0" fontId="2" fillId="0" borderId="3" xfId="0" applyFont="1" applyBorder="1" applyAlignment="1">
      <alignment horizontal="left" vertical="top"/>
    </xf>
    <xf numFmtId="0" fontId="16" fillId="0" borderId="0" xfId="0" applyFont="1" applyAlignment="1">
      <alignment horizontal="left" vertical="top"/>
    </xf>
    <xf numFmtId="0" fontId="16" fillId="0" borderId="22" xfId="0" applyFont="1" applyBorder="1" applyAlignment="1">
      <alignment horizontal="left" vertical="top"/>
    </xf>
    <xf numFmtId="0" fontId="2" fillId="0" borderId="12" xfId="0" applyFont="1" applyBorder="1" applyAlignment="1">
      <alignment horizontal="left" vertical="top" wrapText="1"/>
    </xf>
    <xf numFmtId="0" fontId="2" fillId="0" borderId="10" xfId="0" applyFont="1" applyBorder="1" applyAlignment="1">
      <alignment horizontal="left" vertical="top" wrapText="1"/>
    </xf>
    <xf numFmtId="0" fontId="1" fillId="0" borderId="12"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14" xfId="0" applyFont="1" applyBorder="1" applyAlignment="1">
      <alignment horizontal="left" vertical="top" wrapText="1"/>
    </xf>
    <xf numFmtId="0" fontId="2" fillId="0" borderId="3" xfId="0" applyFont="1" applyBorder="1" applyAlignment="1">
      <alignment horizontal="left" vertical="top" wrapText="1"/>
    </xf>
    <xf numFmtId="0" fontId="2" fillId="0" borderId="13" xfId="0" applyFont="1" applyBorder="1" applyAlignment="1">
      <alignment horizontal="left" vertical="top" wrapText="1"/>
    </xf>
    <xf numFmtId="0" fontId="2" fillId="0" borderId="8" xfId="0" applyFont="1" applyBorder="1" applyAlignment="1">
      <alignment horizontal="left" vertical="top" wrapText="1"/>
    </xf>
    <xf numFmtId="164" fontId="2" fillId="0" borderId="2" xfId="0" applyNumberFormat="1" applyFont="1" applyBorder="1" applyAlignment="1">
      <alignment horizontal="left" vertical="top" wrapText="1"/>
    </xf>
    <xf numFmtId="0" fontId="2" fillId="0" borderId="9" xfId="0" applyFont="1" applyBorder="1" applyAlignment="1">
      <alignment horizontal="left" vertical="top" wrapText="1"/>
    </xf>
    <xf numFmtId="164" fontId="17" fillId="0" borderId="10" xfId="0" applyNumberFormat="1" applyFont="1" applyBorder="1" applyAlignment="1">
      <alignment horizontal="left" vertical="top" wrapText="1"/>
    </xf>
    <xf numFmtId="0" fontId="1" fillId="0" borderId="1" xfId="0" applyFont="1" applyBorder="1" applyAlignment="1">
      <alignment horizontal="left" vertical="top" wrapText="1"/>
    </xf>
    <xf numFmtId="0" fontId="2" fillId="0" borderId="4" xfId="0" applyFont="1" applyBorder="1" applyAlignment="1">
      <alignment horizontal="left" vertical="top" wrapText="1"/>
    </xf>
    <xf numFmtId="0" fontId="2" fillId="0" borderId="6" xfId="0" applyFont="1" applyBorder="1" applyAlignment="1">
      <alignment horizontal="left" vertical="top" wrapText="1"/>
    </xf>
    <xf numFmtId="164" fontId="17" fillId="0" borderId="14" xfId="0" applyNumberFormat="1" applyFont="1" applyBorder="1" applyAlignment="1">
      <alignment horizontal="left" vertical="top" wrapText="1"/>
    </xf>
    <xf numFmtId="164" fontId="2" fillId="0" borderId="14" xfId="0" applyNumberFormat="1" applyFont="1" applyBorder="1" applyAlignment="1">
      <alignment horizontal="left" vertical="top"/>
    </xf>
    <xf numFmtId="0" fontId="1" fillId="2" borderId="5" xfId="0" applyFont="1" applyFill="1" applyBorder="1" applyAlignment="1">
      <alignment horizontal="left" vertical="top" wrapText="1"/>
    </xf>
    <xf numFmtId="0" fontId="2" fillId="0" borderId="17" xfId="0" applyFont="1" applyBorder="1" applyAlignment="1">
      <alignment horizontal="left" vertical="top" wrapText="1"/>
    </xf>
    <xf numFmtId="0" fontId="2" fillId="0" borderId="14" xfId="0" applyFont="1" applyBorder="1" applyAlignment="1">
      <alignment horizontal="left" vertical="top"/>
    </xf>
    <xf numFmtId="0" fontId="2" fillId="0" borderId="10" xfId="0" applyFont="1" applyBorder="1" applyAlignment="1">
      <alignment vertical="top"/>
    </xf>
    <xf numFmtId="0" fontId="2" fillId="2" borderId="10" xfId="0" applyFont="1" applyFill="1" applyBorder="1" applyAlignment="1">
      <alignment horizontal="center" vertical="top"/>
    </xf>
    <xf numFmtId="164" fontId="2" fillId="0" borderId="8" xfId="0" applyNumberFormat="1" applyFont="1" applyBorder="1" applyAlignment="1">
      <alignment horizontal="left" vertical="top" wrapText="1"/>
    </xf>
    <xf numFmtId="164" fontId="2" fillId="0" borderId="0" xfId="0" applyNumberFormat="1" applyFont="1" applyAlignment="1">
      <alignment horizontal="left" vertical="top" wrapText="1"/>
    </xf>
    <xf numFmtId="0" fontId="2" fillId="2" borderId="6" xfId="0" applyFont="1" applyFill="1" applyBorder="1" applyAlignment="1">
      <alignment horizontal="left" vertical="top" wrapText="1"/>
    </xf>
    <xf numFmtId="0" fontId="2" fillId="2" borderId="17" xfId="0" applyFont="1" applyFill="1" applyBorder="1" applyAlignment="1">
      <alignment horizontal="center" vertical="top" wrapText="1"/>
    </xf>
    <xf numFmtId="0" fontId="2" fillId="2" borderId="4" xfId="0" applyFont="1" applyFill="1" applyBorder="1" applyAlignment="1">
      <alignment horizontal="center" vertical="top"/>
    </xf>
    <xf numFmtId="0" fontId="2" fillId="0" borderId="40" xfId="0" applyFont="1" applyBorder="1" applyAlignment="1">
      <alignment horizontal="left" vertical="top" wrapText="1"/>
    </xf>
    <xf numFmtId="0" fontId="2" fillId="2" borderId="5" xfId="0" applyFont="1" applyFill="1" applyBorder="1" applyAlignment="1">
      <alignment horizontal="center" vertical="top" wrapText="1"/>
    </xf>
    <xf numFmtId="20" fontId="17" fillId="0" borderId="0" xfId="0" applyNumberFormat="1" applyFont="1"/>
    <xf numFmtId="0" fontId="21" fillId="0" borderId="0" xfId="0" applyFont="1"/>
    <xf numFmtId="2" fontId="2" fillId="0" borderId="0" xfId="0" applyNumberFormat="1" applyFont="1" applyAlignment="1">
      <alignment horizontal="left" vertical="top" wrapText="1"/>
    </xf>
    <xf numFmtId="2" fontId="1" fillId="0" borderId="0" xfId="0" applyNumberFormat="1" applyFont="1" applyAlignment="1">
      <alignment horizontal="left" vertical="top" wrapText="1"/>
    </xf>
    <xf numFmtId="2" fontId="1" fillId="0" borderId="17" xfId="0" applyNumberFormat="1" applyFont="1" applyBorder="1" applyAlignment="1">
      <alignment horizontal="left" vertical="top" wrapText="1"/>
    </xf>
    <xf numFmtId="0" fontId="17"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4" borderId="12" xfId="0" applyFont="1" applyFill="1" applyBorder="1" applyAlignment="1">
      <alignment horizontal="left" vertical="top" wrapText="1"/>
    </xf>
    <xf numFmtId="0" fontId="2" fillId="0" borderId="9" xfId="0" applyFont="1" applyBorder="1" applyAlignment="1">
      <alignment horizontal="center" vertical="center" wrapText="1"/>
    </xf>
    <xf numFmtId="0" fontId="1" fillId="0" borderId="0" xfId="0" applyFont="1" applyAlignment="1">
      <alignment horizontal="center" vertical="center" wrapText="1"/>
    </xf>
    <xf numFmtId="0" fontId="2" fillId="0" borderId="9" xfId="0" quotePrefix="1" applyFont="1" applyBorder="1" applyAlignment="1">
      <alignment horizontal="center" vertical="center"/>
    </xf>
    <xf numFmtId="0" fontId="2" fillId="0" borderId="13" xfId="0" quotePrefix="1" applyFont="1" applyBorder="1" applyAlignment="1">
      <alignment horizontal="center" vertical="center"/>
    </xf>
    <xf numFmtId="0" fontId="2" fillId="0" borderId="16" xfId="0" applyFont="1" applyBorder="1" applyAlignment="1">
      <alignment horizontal="left" vertical="top" wrapText="1"/>
    </xf>
    <xf numFmtId="0" fontId="2" fillId="2" borderId="4"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6" xfId="0" applyFont="1" applyFill="1" applyBorder="1" applyAlignment="1">
      <alignment horizontal="left" vertical="top" wrapText="1"/>
    </xf>
    <xf numFmtId="0" fontId="2" fillId="0" borderId="12" xfId="0" applyFont="1" applyBorder="1" applyAlignment="1">
      <alignment horizontal="center" vertical="center" wrapText="1"/>
    </xf>
    <xf numFmtId="164" fontId="2" fillId="4" borderId="12" xfId="0" applyNumberFormat="1" applyFont="1" applyFill="1" applyBorder="1" applyAlignment="1">
      <alignment horizontal="right" vertical="top"/>
    </xf>
    <xf numFmtId="0" fontId="2" fillId="4" borderId="0" xfId="0" applyFont="1" applyFill="1" applyAlignment="1">
      <alignment horizontal="left" vertical="top" wrapText="1"/>
    </xf>
    <xf numFmtId="0" fontId="2" fillId="4" borderId="10" xfId="0" applyFont="1" applyFill="1" applyBorder="1" applyAlignment="1">
      <alignment horizontal="left" vertical="top" wrapText="1"/>
    </xf>
    <xf numFmtId="0" fontId="2" fillId="4" borderId="16" xfId="0" applyFont="1" applyFill="1" applyBorder="1"/>
    <xf numFmtId="0" fontId="2" fillId="4" borderId="14" xfId="0" applyFont="1" applyFill="1" applyBorder="1"/>
    <xf numFmtId="0" fontId="2" fillId="4" borderId="16" xfId="0" applyFont="1" applyFill="1" applyBorder="1" applyAlignment="1">
      <alignment vertical="top"/>
    </xf>
    <xf numFmtId="164" fontId="2" fillId="4" borderId="12" xfId="0" applyNumberFormat="1" applyFont="1" applyFill="1" applyBorder="1" applyAlignment="1">
      <alignment horizontal="right" vertical="top" wrapText="1"/>
    </xf>
    <xf numFmtId="164" fontId="2" fillId="4" borderId="10" xfId="0" applyNumberFormat="1" applyFont="1" applyFill="1" applyBorder="1" applyAlignment="1">
      <alignment horizontal="left" vertical="top" wrapText="1"/>
    </xf>
    <xf numFmtId="0" fontId="2" fillId="4" borderId="56" xfId="0" applyFont="1" applyFill="1" applyBorder="1" applyAlignment="1">
      <alignment horizontal="left" vertical="center" wrapText="1"/>
    </xf>
    <xf numFmtId="164" fontId="2" fillId="4" borderId="0" xfId="0" applyNumberFormat="1" applyFont="1" applyFill="1" applyAlignment="1">
      <alignment horizontal="right" vertical="top" wrapText="1"/>
    </xf>
    <xf numFmtId="0" fontId="2" fillId="4" borderId="0" xfId="0" applyFont="1" applyFill="1" applyAlignment="1">
      <alignment horizontal="left" vertical="top"/>
    </xf>
    <xf numFmtId="164" fontId="2" fillId="0" borderId="31" xfId="0" applyNumberFormat="1" applyFont="1" applyBorder="1" applyAlignment="1">
      <alignment horizontal="left" vertical="top" wrapText="1"/>
    </xf>
    <xf numFmtId="164" fontId="2" fillId="0" borderId="1" xfId="0" applyNumberFormat="1" applyFont="1" applyBorder="1" applyAlignment="1">
      <alignment horizontal="left" vertical="top"/>
    </xf>
    <xf numFmtId="0" fontId="2" fillId="0" borderId="1" xfId="0" applyFont="1" applyBorder="1" applyAlignment="1">
      <alignment vertical="top"/>
    </xf>
    <xf numFmtId="0" fontId="0" fillId="0" borderId="12" xfId="0" applyBorder="1"/>
    <xf numFmtId="0" fontId="0" fillId="0" borderId="10" xfId="0" applyBorder="1"/>
    <xf numFmtId="0" fontId="0" fillId="0" borderId="16" xfId="0" applyBorder="1"/>
    <xf numFmtId="0" fontId="0" fillId="0" borderId="14" xfId="0" applyBorder="1"/>
    <xf numFmtId="0" fontId="0" fillId="0" borderId="1" xfId="0" applyBorder="1"/>
    <xf numFmtId="0" fontId="0" fillId="0" borderId="2" xfId="0" applyBorder="1"/>
    <xf numFmtId="164" fontId="0" fillId="0" borderId="0" xfId="0" applyNumberFormat="1"/>
    <xf numFmtId="0" fontId="0" fillId="0" borderId="17" xfId="0" applyBorder="1"/>
    <xf numFmtId="0" fontId="2" fillId="0" borderId="12" xfId="0" applyFont="1" applyBorder="1" applyAlignment="1">
      <alignment horizontal="left" vertical="top" wrapText="1"/>
    </xf>
    <xf numFmtId="0" fontId="2" fillId="0" borderId="10" xfId="0" applyFont="1" applyBorder="1" applyAlignment="1">
      <alignment horizontal="left" vertical="top" wrapText="1"/>
    </xf>
    <xf numFmtId="0" fontId="1" fillId="7" borderId="12" xfId="0" applyFont="1" applyFill="1" applyBorder="1" applyAlignment="1">
      <alignment horizontal="left" vertical="center" wrapText="1"/>
    </xf>
    <xf numFmtId="0" fontId="1" fillId="7" borderId="0" xfId="0" applyFont="1" applyFill="1" applyAlignment="1">
      <alignment horizontal="left" vertical="center" wrapText="1"/>
    </xf>
    <xf numFmtId="0" fontId="1" fillId="0" borderId="12" xfId="0" applyFont="1" applyBorder="1" applyAlignment="1">
      <alignment horizontal="left" vertical="top" wrapText="1"/>
    </xf>
    <xf numFmtId="0" fontId="1" fillId="0" borderId="10" xfId="0" applyFont="1" applyBorder="1" applyAlignment="1">
      <alignment horizontal="left" vertical="top" wrapText="1"/>
    </xf>
    <xf numFmtId="0" fontId="1" fillId="0" borderId="16" xfId="0" applyFont="1" applyBorder="1" applyAlignment="1">
      <alignment horizontal="left" vertical="top" wrapText="1"/>
    </xf>
    <xf numFmtId="0" fontId="1" fillId="0" borderId="14"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16" xfId="0" applyFont="1" applyBorder="1" applyAlignment="1">
      <alignment horizontal="left" vertical="top" wrapText="1"/>
    </xf>
    <xf numFmtId="0" fontId="2" fillId="0" borderId="14" xfId="0" applyFont="1" applyBorder="1" applyAlignment="1">
      <alignment horizontal="left" vertical="top" wrapText="1"/>
    </xf>
    <xf numFmtId="0" fontId="2" fillId="0" borderId="3" xfId="0" applyFont="1" applyBorder="1" applyAlignment="1">
      <alignment horizontal="left" vertical="top" wrapText="1"/>
    </xf>
    <xf numFmtId="0" fontId="2" fillId="0" borderId="13" xfId="0" applyFont="1" applyBorder="1" applyAlignment="1">
      <alignment horizontal="left" vertical="top" wrapText="1"/>
    </xf>
    <xf numFmtId="0" fontId="2" fillId="0" borderId="8" xfId="0" applyFont="1" applyBorder="1" applyAlignment="1">
      <alignment horizontal="left" vertical="top" wrapText="1"/>
    </xf>
    <xf numFmtId="0" fontId="2" fillId="0" borderId="0" xfId="0" applyFont="1" applyAlignment="1">
      <alignment horizontal="left" vertical="top" wrapText="1"/>
    </xf>
    <xf numFmtId="0" fontId="2" fillId="0" borderId="17" xfId="0" applyFont="1" applyBorder="1" applyAlignment="1">
      <alignment horizontal="left" vertical="top"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4" xfId="0" applyFont="1" applyBorder="1" applyAlignment="1">
      <alignment horizontal="center" vertical="center" wrapText="1"/>
    </xf>
    <xf numFmtId="164" fontId="2" fillId="0" borderId="4" xfId="0" applyNumberFormat="1" applyFont="1" applyBorder="1" applyAlignment="1">
      <alignment horizontal="left" vertical="top"/>
    </xf>
    <xf numFmtId="164" fontId="2" fillId="0" borderId="6" xfId="0" applyNumberFormat="1" applyFont="1" applyBorder="1" applyAlignment="1">
      <alignment horizontal="left" vertical="top"/>
    </xf>
    <xf numFmtId="0" fontId="2" fillId="0" borderId="8" xfId="0" applyFont="1" applyBorder="1" applyAlignment="1">
      <alignment horizontal="left" vertical="center" wrapText="1"/>
    </xf>
    <xf numFmtId="0" fontId="2" fillId="0" borderId="17" xfId="0" applyFont="1" applyBorder="1" applyAlignment="1">
      <alignment horizontal="left" vertical="center" wrapText="1"/>
    </xf>
    <xf numFmtId="164" fontId="2" fillId="0" borderId="1" xfId="0" applyNumberFormat="1" applyFont="1" applyBorder="1" applyAlignment="1">
      <alignment horizontal="right" vertical="top" wrapText="1"/>
    </xf>
    <xf numFmtId="164" fontId="2" fillId="0" borderId="12" xfId="0" applyNumberFormat="1" applyFont="1" applyBorder="1" applyAlignment="1">
      <alignment horizontal="right" vertical="top" wrapText="1"/>
    </xf>
    <xf numFmtId="164" fontId="2" fillId="0" borderId="2" xfId="0" applyNumberFormat="1" applyFont="1" applyBorder="1" applyAlignment="1">
      <alignment horizontal="left" vertical="top" wrapText="1"/>
    </xf>
    <xf numFmtId="164" fontId="2" fillId="0" borderId="10" xfId="0" applyNumberFormat="1" applyFont="1" applyBorder="1" applyAlignment="1">
      <alignment horizontal="left" vertical="top" wrapText="1"/>
    </xf>
    <xf numFmtId="0" fontId="2" fillId="0" borderId="9" xfId="0" applyFont="1" applyBorder="1" applyAlignment="1">
      <alignment horizontal="left" vertical="top" wrapText="1"/>
    </xf>
    <xf numFmtId="164" fontId="17" fillId="0" borderId="10" xfId="0" applyNumberFormat="1" applyFont="1" applyBorder="1" applyAlignment="1">
      <alignment horizontal="left" vertical="top" wrapText="1"/>
    </xf>
    <xf numFmtId="0" fontId="1" fillId="0" borderId="9" xfId="0" applyFont="1" applyBorder="1" applyAlignment="1">
      <alignment horizontal="left" vertical="top"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3" fillId="0" borderId="17" xfId="0" quotePrefix="1" applyFont="1" applyBorder="1" applyAlignment="1">
      <alignment horizontal="left" vertical="center" wrapText="1"/>
    </xf>
    <xf numFmtId="0" fontId="3" fillId="0" borderId="5" xfId="0" applyFont="1" applyBorder="1" applyAlignment="1">
      <alignment horizontal="left" vertical="center" wrapText="1"/>
    </xf>
    <xf numFmtId="0" fontId="2" fillId="0" borderId="4" xfId="0" applyFont="1" applyBorder="1" applyAlignment="1">
      <alignment horizontal="left" vertical="top" wrapText="1"/>
    </xf>
    <xf numFmtId="0" fontId="2" fillId="0" borderId="6" xfId="0" applyFont="1" applyBorder="1" applyAlignment="1">
      <alignment horizontal="left" vertical="top" wrapText="1"/>
    </xf>
    <xf numFmtId="164" fontId="17" fillId="0" borderId="14" xfId="0" applyNumberFormat="1" applyFont="1" applyBorder="1" applyAlignment="1">
      <alignment horizontal="left" vertical="top" wrapText="1"/>
    </xf>
    <xf numFmtId="0" fontId="16" fillId="7" borderId="12" xfId="0" applyFont="1" applyFill="1" applyBorder="1" applyAlignment="1">
      <alignment horizontal="left" wrapText="1"/>
    </xf>
    <xf numFmtId="0" fontId="16" fillId="7" borderId="0" xfId="0" applyFont="1" applyFill="1" applyAlignment="1">
      <alignment horizontal="left" wrapText="1"/>
    </xf>
    <xf numFmtId="0" fontId="2" fillId="2" borderId="4" xfId="0" applyFont="1" applyFill="1" applyBorder="1" applyAlignment="1">
      <alignment horizontal="center" vertical="top" wrapText="1"/>
    </xf>
    <xf numFmtId="0" fontId="2" fillId="2" borderId="6" xfId="0" applyFont="1" applyFill="1" applyBorder="1" applyAlignment="1">
      <alignment horizontal="center" vertical="top" wrapText="1"/>
    </xf>
    <xf numFmtId="164" fontId="2" fillId="0" borderId="1" xfId="0" applyNumberFormat="1" applyFont="1" applyBorder="1" applyAlignment="1">
      <alignment horizontal="left" vertical="top"/>
    </xf>
    <xf numFmtId="164" fontId="2" fillId="0" borderId="2" xfId="0" applyNumberFormat="1" applyFont="1" applyBorder="1" applyAlignment="1">
      <alignment horizontal="left" vertical="top"/>
    </xf>
    <xf numFmtId="164" fontId="2" fillId="0" borderId="16" xfId="0" applyNumberFormat="1" applyFont="1" applyBorder="1" applyAlignment="1">
      <alignment horizontal="left" vertical="top"/>
    </xf>
    <xf numFmtId="164" fontId="2" fillId="0" borderId="14" xfId="0" applyNumberFormat="1" applyFont="1" applyBorder="1" applyAlignment="1">
      <alignment horizontal="left" vertical="top"/>
    </xf>
    <xf numFmtId="0" fontId="2" fillId="2" borderId="12" xfId="0" applyFont="1" applyFill="1" applyBorder="1" applyAlignment="1">
      <alignment horizontal="left" vertical="top" wrapText="1"/>
    </xf>
    <xf numFmtId="0" fontId="2" fillId="2" borderId="0" xfId="0" applyFont="1" applyFill="1" applyAlignment="1">
      <alignment horizontal="left" vertical="top" wrapText="1"/>
    </xf>
    <xf numFmtId="2" fontId="2" fillId="5" borderId="4" xfId="0" applyNumberFormat="1" applyFont="1" applyFill="1" applyBorder="1" applyAlignment="1">
      <alignment horizontal="left" vertical="top" wrapText="1"/>
    </xf>
    <xf numFmtId="2" fontId="1" fillId="5" borderId="5" xfId="0" applyNumberFormat="1" applyFont="1" applyFill="1" applyBorder="1" applyAlignment="1">
      <alignment horizontal="left" vertical="top" wrapText="1"/>
    </xf>
    <xf numFmtId="164" fontId="20" fillId="0" borderId="4" xfId="0" applyNumberFormat="1" applyFont="1" applyBorder="1" applyAlignment="1">
      <alignment horizontal="left" vertical="top" wrapText="1"/>
    </xf>
    <xf numFmtId="164" fontId="6" fillId="0" borderId="6" xfId="0" applyNumberFormat="1" applyFont="1" applyBorder="1" applyAlignment="1">
      <alignment horizontal="left" vertical="top" wrapText="1"/>
    </xf>
    <xf numFmtId="0" fontId="2" fillId="0" borderId="1" xfId="0" applyFont="1" applyBorder="1" applyAlignment="1">
      <alignment horizontal="center" vertical="center"/>
    </xf>
    <xf numFmtId="0" fontId="2" fillId="0" borderId="8"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10" xfId="0" applyFont="1" applyBorder="1" applyAlignment="1">
      <alignment horizontal="center" vertical="center"/>
    </xf>
    <xf numFmtId="0" fontId="2" fillId="0" borderId="16" xfId="0" applyFont="1" applyBorder="1" applyAlignment="1">
      <alignment horizontal="center" vertical="center"/>
    </xf>
    <xf numFmtId="0" fontId="2" fillId="0" borderId="14" xfId="0" applyFont="1" applyBorder="1" applyAlignment="1">
      <alignment horizontal="center" vertical="center"/>
    </xf>
    <xf numFmtId="0" fontId="1" fillId="5" borderId="16" xfId="0" applyFont="1" applyFill="1" applyBorder="1" applyAlignment="1">
      <alignment horizontal="center" vertical="top" wrapText="1"/>
    </xf>
    <xf numFmtId="0" fontId="1" fillId="5" borderId="17" xfId="0" applyFont="1" applyFill="1" applyBorder="1" applyAlignment="1">
      <alignment horizontal="center" vertical="top" wrapText="1"/>
    </xf>
    <xf numFmtId="0" fontId="7" fillId="0" borderId="7" xfId="0" applyFont="1" applyBorder="1" applyAlignment="1">
      <alignment vertical="top" wrapText="1"/>
    </xf>
    <xf numFmtId="0" fontId="7" fillId="0" borderId="11" xfId="0" applyFont="1" applyBorder="1" applyAlignment="1">
      <alignment vertical="top" wrapText="1"/>
    </xf>
    <xf numFmtId="0" fontId="2" fillId="0" borderId="7" xfId="0" applyFont="1" applyBorder="1" applyAlignment="1">
      <alignment vertical="top" wrapText="1"/>
    </xf>
    <xf numFmtId="0" fontId="7" fillId="0" borderId="15" xfId="0" applyFont="1" applyBorder="1" applyAlignment="1">
      <alignment vertical="top" wrapText="1"/>
    </xf>
    <xf numFmtId="0" fontId="2" fillId="0" borderId="11" xfId="0" applyFont="1" applyBorder="1" applyAlignment="1">
      <alignment vertical="top" wrapText="1"/>
    </xf>
    <xf numFmtId="0" fontId="2" fillId="0" borderId="15" xfId="0" applyFont="1" applyBorder="1" applyAlignment="1">
      <alignment vertical="top" wrapText="1"/>
    </xf>
    <xf numFmtId="0" fontId="7" fillId="0" borderId="21" xfId="0" applyFont="1" applyBorder="1" applyAlignment="1">
      <alignment vertical="top" wrapText="1"/>
    </xf>
    <xf numFmtId="0" fontId="7" fillId="0" borderId="25" xfId="0" applyFont="1" applyBorder="1" applyAlignment="1">
      <alignment vertical="top" wrapText="1"/>
    </xf>
    <xf numFmtId="0" fontId="1" fillId="2" borderId="1" xfId="0" applyFont="1" applyFill="1" applyBorder="1" applyAlignment="1">
      <alignment horizontal="center" vertical="top" wrapText="1"/>
    </xf>
    <xf numFmtId="0" fontId="1" fillId="2" borderId="8" xfId="0" applyFont="1" applyFill="1" applyBorder="1" applyAlignment="1">
      <alignment horizontal="center" vertical="top" wrapText="1"/>
    </xf>
    <xf numFmtId="0" fontId="2" fillId="5" borderId="1" xfId="0" applyFont="1" applyFill="1" applyBorder="1" applyAlignment="1">
      <alignment horizontal="left" vertical="top" wrapText="1"/>
    </xf>
    <xf numFmtId="0" fontId="2" fillId="5" borderId="8" xfId="0" applyFont="1" applyFill="1" applyBorder="1" applyAlignment="1">
      <alignment horizontal="left" vertical="top" wrapText="1"/>
    </xf>
    <xf numFmtId="0" fontId="2" fillId="5" borderId="16" xfId="0" applyFont="1" applyFill="1" applyBorder="1" applyAlignment="1">
      <alignment horizontal="left" vertical="top" wrapText="1"/>
    </xf>
    <xf numFmtId="0" fontId="2" fillId="5" borderId="17" xfId="0" applyFont="1" applyFill="1" applyBorder="1" applyAlignment="1">
      <alignment horizontal="left" vertical="top" wrapText="1"/>
    </xf>
    <xf numFmtId="0" fontId="7" fillId="5" borderId="1" xfId="0" applyFont="1" applyFill="1" applyBorder="1" applyAlignment="1">
      <alignment horizontal="left" vertical="top" wrapText="1"/>
    </xf>
    <xf numFmtId="0" fontId="1" fillId="2" borderId="2" xfId="0" applyFont="1" applyFill="1" applyBorder="1" applyAlignment="1">
      <alignment horizontal="center" vertical="top" wrapText="1"/>
    </xf>
    <xf numFmtId="0" fontId="2" fillId="5" borderId="4" xfId="0" applyFont="1" applyFill="1" applyBorder="1" applyAlignment="1">
      <alignment horizontal="left" vertical="top" wrapText="1"/>
    </xf>
    <xf numFmtId="0" fontId="2" fillId="5" borderId="5" xfId="0" applyFont="1" applyFill="1" applyBorder="1" applyAlignment="1">
      <alignment horizontal="left" vertical="top" wrapText="1"/>
    </xf>
    <xf numFmtId="0" fontId="1" fillId="0" borderId="0" xfId="0" applyFont="1" applyAlignment="1">
      <alignment horizontal="left" vertical="top" wrapText="1"/>
    </xf>
    <xf numFmtId="0" fontId="1" fillId="2" borderId="4"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5" xfId="0" applyFont="1" applyFill="1" applyBorder="1" applyAlignment="1">
      <alignment horizontal="center" vertical="top" wrapText="1"/>
    </xf>
    <xf numFmtId="0" fontId="2" fillId="7" borderId="0" xfId="0" applyFont="1" applyFill="1" applyAlignment="1">
      <alignment horizontal="left" vertical="top" wrapText="1"/>
    </xf>
    <xf numFmtId="0" fontId="2" fillId="0" borderId="29" xfId="0" applyFont="1" applyBorder="1" applyAlignment="1">
      <alignment horizontal="left" vertical="center" wrapText="1"/>
    </xf>
    <xf numFmtId="0" fontId="2" fillId="0" borderId="30" xfId="0" applyFont="1" applyBorder="1" applyAlignment="1">
      <alignment horizontal="left" vertical="center" wrapText="1"/>
    </xf>
    <xf numFmtId="0" fontId="2" fillId="0" borderId="28" xfId="0" applyFont="1" applyBorder="1" applyAlignment="1">
      <alignment horizontal="left" vertical="center" wrapText="1"/>
    </xf>
    <xf numFmtId="0" fontId="2" fillId="0" borderId="3"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wrapText="1"/>
    </xf>
    <xf numFmtId="0" fontId="17" fillId="5" borderId="4" xfId="0" applyFont="1" applyFill="1" applyBorder="1" applyAlignment="1">
      <alignment horizontal="left" vertical="top" wrapText="1"/>
    </xf>
    <xf numFmtId="0" fontId="17" fillId="5" borderId="5" xfId="0" applyFont="1" applyFill="1" applyBorder="1" applyAlignment="1">
      <alignment horizontal="left" vertical="top" wrapText="1"/>
    </xf>
    <xf numFmtId="0" fontId="17" fillId="5" borderId="6" xfId="0" applyFont="1" applyFill="1" applyBorder="1" applyAlignment="1">
      <alignment horizontal="left" vertical="top" wrapText="1"/>
    </xf>
    <xf numFmtId="0" fontId="2" fillId="0" borderId="54" xfId="0" applyFont="1" applyBorder="1" applyAlignment="1">
      <alignment horizontal="left" vertical="top" wrapText="1"/>
    </xf>
    <xf numFmtId="0" fontId="2" fillId="0" borderId="0" xfId="0" applyFont="1" applyAlignment="1">
      <alignment vertical="top"/>
    </xf>
    <xf numFmtId="0" fontId="2" fillId="0" borderId="10" xfId="0" applyFont="1" applyBorder="1" applyAlignment="1">
      <alignment vertical="top"/>
    </xf>
    <xf numFmtId="0" fontId="2" fillId="0" borderId="17" xfId="0" applyFont="1" applyBorder="1" applyAlignment="1">
      <alignment horizontal="left" vertical="top"/>
    </xf>
    <xf numFmtId="0" fontId="2" fillId="0" borderId="14" xfId="0" applyFont="1" applyBorder="1" applyAlignment="1">
      <alignment horizontal="left" vertical="top"/>
    </xf>
    <xf numFmtId="0" fontId="2" fillId="0" borderId="9" xfId="0" applyFont="1" applyBorder="1" applyAlignment="1">
      <alignment horizontal="center"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8" xfId="0" applyFont="1" applyBorder="1" applyAlignment="1">
      <alignment vertical="top" wrapText="1"/>
    </xf>
    <xf numFmtId="0" fontId="2" fillId="0" borderId="2" xfId="0" applyFont="1" applyBorder="1" applyAlignment="1">
      <alignment vertical="top" wrapText="1"/>
    </xf>
    <xf numFmtId="0" fontId="2" fillId="4" borderId="17" xfId="0" applyFont="1" applyFill="1" applyBorder="1" applyAlignment="1">
      <alignment horizontal="left" vertical="top" wrapText="1"/>
    </xf>
    <xf numFmtId="0" fontId="2" fillId="4" borderId="14" xfId="0" applyFont="1" applyFill="1" applyBorder="1" applyAlignment="1">
      <alignment horizontal="left" vertical="top" wrapText="1"/>
    </xf>
    <xf numFmtId="0" fontId="2" fillId="0" borderId="3" xfId="0" applyFont="1" applyBorder="1" applyAlignment="1">
      <alignment horizontal="center" vertical="top" wrapText="1"/>
    </xf>
    <xf numFmtId="0" fontId="17" fillId="0" borderId="16" xfId="0" applyFont="1" applyBorder="1" applyAlignment="1">
      <alignment horizontal="left" vertical="top" wrapText="1"/>
    </xf>
    <xf numFmtId="0" fontId="17" fillId="0" borderId="17" xfId="0" applyFont="1" applyBorder="1" applyAlignment="1">
      <alignment horizontal="left" vertical="top" wrapText="1"/>
    </xf>
    <xf numFmtId="0" fontId="1" fillId="2" borderId="4" xfId="0" applyFont="1" applyFill="1" applyBorder="1" applyAlignment="1">
      <alignment horizontal="center" vertical="top" wrapText="1"/>
    </xf>
    <xf numFmtId="0" fontId="1" fillId="7" borderId="52" xfId="0" applyFont="1" applyFill="1" applyBorder="1" applyAlignment="1">
      <alignment horizontal="center" vertical="top" wrapText="1"/>
    </xf>
    <xf numFmtId="0" fontId="1" fillId="7" borderId="53" xfId="0" applyFont="1" applyFill="1" applyBorder="1" applyAlignment="1">
      <alignment horizontal="center" vertical="top" wrapText="1"/>
    </xf>
    <xf numFmtId="0" fontId="17" fillId="0" borderId="12" xfId="0" applyFont="1" applyBorder="1" applyAlignment="1">
      <alignment horizontal="left" vertical="top" wrapText="1"/>
    </xf>
    <xf numFmtId="0" fontId="17" fillId="0" borderId="0" xfId="0" applyFont="1" applyAlignment="1">
      <alignment horizontal="left" vertical="top" wrapText="1"/>
    </xf>
    <xf numFmtId="0" fontId="16" fillId="0" borderId="42" xfId="0" applyFont="1" applyBorder="1" applyAlignment="1">
      <alignment horizontal="left" vertical="top" wrapText="1"/>
    </xf>
    <xf numFmtId="0" fontId="1" fillId="7" borderId="27" xfId="0" applyFont="1" applyFill="1" applyBorder="1" applyAlignment="1">
      <alignment horizontal="left" vertical="center" wrapText="1"/>
    </xf>
    <xf numFmtId="0" fontId="1" fillId="7" borderId="30" xfId="0" applyFont="1" applyFill="1" applyBorder="1" applyAlignment="1">
      <alignment horizontal="left" vertical="center" wrapText="1"/>
    </xf>
    <xf numFmtId="0" fontId="1" fillId="7" borderId="28" xfId="0" applyFont="1" applyFill="1" applyBorder="1" applyAlignment="1">
      <alignment horizontal="left" vertical="center" wrapText="1"/>
    </xf>
    <xf numFmtId="0" fontId="2" fillId="5" borderId="2" xfId="0" applyFont="1" applyFill="1" applyBorder="1" applyAlignment="1">
      <alignment horizontal="left" vertical="top" wrapText="1"/>
    </xf>
    <xf numFmtId="0" fontId="2" fillId="5" borderId="14" xfId="0" applyFont="1" applyFill="1" applyBorder="1" applyAlignment="1">
      <alignment horizontal="left" vertical="top" wrapText="1"/>
    </xf>
    <xf numFmtId="0" fontId="2" fillId="2" borderId="0" xfId="0" applyFont="1" applyFill="1" applyAlignment="1">
      <alignment horizontal="center" vertical="top"/>
    </xf>
    <xf numFmtId="0" fontId="2" fillId="2" borderId="10" xfId="0" applyFont="1" applyFill="1" applyBorder="1" applyAlignment="1">
      <alignment horizontal="center" vertical="top"/>
    </xf>
    <xf numFmtId="0" fontId="2" fillId="2" borderId="12" xfId="0" applyFont="1" applyFill="1" applyBorder="1" applyAlignment="1">
      <alignment horizontal="center" vertical="top"/>
    </xf>
    <xf numFmtId="164" fontId="2" fillId="0" borderId="4" xfId="0" applyNumberFormat="1" applyFont="1" applyBorder="1" applyAlignment="1">
      <alignment horizontal="center" vertical="top" wrapText="1"/>
    </xf>
    <xf numFmtId="164" fontId="2" fillId="0" borderId="6" xfId="0" applyNumberFormat="1" applyFont="1" applyBorder="1" applyAlignment="1">
      <alignment horizontal="center" vertical="top"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164" fontId="2" fillId="0" borderId="4" xfId="0" applyNumberFormat="1" applyFont="1" applyBorder="1" applyAlignment="1">
      <alignment horizontal="center" vertical="center" wrapText="1"/>
    </xf>
    <xf numFmtId="164" fontId="2" fillId="0" borderId="6" xfId="0" applyNumberFormat="1" applyFont="1" applyBorder="1" applyAlignment="1">
      <alignment horizontal="center" vertical="center" wrapText="1"/>
    </xf>
    <xf numFmtId="0" fontId="2" fillId="5" borderId="0" xfId="0" applyFont="1" applyFill="1" applyAlignment="1">
      <alignment horizontal="left" vertical="top" wrapText="1"/>
    </xf>
    <xf numFmtId="0" fontId="2" fillId="5" borderId="10" xfId="0" applyFont="1" applyFill="1" applyBorder="1" applyAlignment="1">
      <alignment horizontal="left" vertical="top" wrapText="1"/>
    </xf>
    <xf numFmtId="0" fontId="23" fillId="0" borderId="0" xfId="0" applyFont="1" applyAlignment="1">
      <alignment horizontal="center" vertical="top"/>
    </xf>
    <xf numFmtId="0" fontId="2" fillId="0" borderId="0" xfId="0" applyFont="1" applyAlignment="1">
      <alignment horizontal="center" vertical="top"/>
    </xf>
    <xf numFmtId="0" fontId="1" fillId="2" borderId="4" xfId="0" applyFont="1" applyFill="1" applyBorder="1" applyAlignment="1">
      <alignment horizontal="center" vertical="top"/>
    </xf>
    <xf numFmtId="0" fontId="1" fillId="2" borderId="5" xfId="0" applyFont="1" applyFill="1" applyBorder="1" applyAlignment="1">
      <alignment horizontal="center" vertical="top"/>
    </xf>
    <xf numFmtId="0" fontId="1" fillId="2" borderId="17"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0" xfId="0" applyFont="1" applyAlignment="1">
      <alignment horizontal="center" vertical="center" wrapText="1"/>
    </xf>
    <xf numFmtId="0" fontId="1" fillId="2" borderId="0" xfId="0" applyFont="1" applyFill="1" applyAlignment="1">
      <alignment horizontal="center" vertical="top" wrapText="1"/>
    </xf>
    <xf numFmtId="0" fontId="2" fillId="0" borderId="17" xfId="0" applyFont="1" applyBorder="1" applyAlignment="1">
      <alignment horizontal="center" vertical="center" wrapText="1"/>
    </xf>
    <xf numFmtId="0" fontId="2" fillId="0" borderId="1" xfId="0" applyFont="1" applyBorder="1" applyAlignment="1">
      <alignment horizontal="center" vertical="top"/>
    </xf>
    <xf numFmtId="0" fontId="2" fillId="0" borderId="12" xfId="0" applyFont="1" applyBorder="1" applyAlignment="1">
      <alignment horizontal="center" vertical="top"/>
    </xf>
    <xf numFmtId="0" fontId="2" fillId="0" borderId="53" xfId="0" applyFont="1" applyBorder="1" applyAlignment="1">
      <alignment horizontal="left" vertical="top" wrapText="1"/>
    </xf>
    <xf numFmtId="0" fontId="2" fillId="0" borderId="5" xfId="0" applyFont="1" applyBorder="1" applyAlignment="1">
      <alignment horizontal="center" vertical="center" wrapText="1"/>
    </xf>
    <xf numFmtId="0" fontId="2" fillId="0" borderId="40" xfId="0" applyFont="1" applyBorder="1" applyAlignment="1">
      <alignment horizontal="left" vertical="top" wrapText="1"/>
    </xf>
    <xf numFmtId="0" fontId="2" fillId="0" borderId="8" xfId="0" applyFont="1" applyBorder="1" applyAlignment="1">
      <alignment horizontal="center" vertical="center" wrapText="1"/>
    </xf>
    <xf numFmtId="0" fontId="2" fillId="0" borderId="22" xfId="0" applyFont="1" applyBorder="1" applyAlignment="1">
      <alignment horizontal="left" vertical="top" wrapText="1"/>
    </xf>
    <xf numFmtId="0" fontId="2" fillId="0" borderId="10" xfId="0" applyFont="1" applyBorder="1" applyAlignment="1">
      <alignment horizontal="center" vertical="center" wrapText="1"/>
    </xf>
    <xf numFmtId="0" fontId="8" fillId="0" borderId="0" xfId="0" applyFont="1" applyAlignment="1">
      <alignment horizontal="center" vertical="top" wrapText="1"/>
    </xf>
    <xf numFmtId="0" fontId="3" fillId="5" borderId="1"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 fillId="0" borderId="22" xfId="0" applyFont="1" applyBorder="1" applyAlignment="1">
      <alignment vertical="center" wrapText="1"/>
    </xf>
    <xf numFmtId="164" fontId="2" fillId="0" borderId="3" xfId="0" applyNumberFormat="1" applyFont="1" applyBorder="1" applyAlignment="1">
      <alignment horizontal="left" vertical="center" wrapText="1"/>
    </xf>
    <xf numFmtId="0" fontId="14" fillId="0" borderId="17" xfId="0" applyFont="1" applyBorder="1" applyAlignment="1">
      <alignment horizontal="left" vertical="top" wrapText="1"/>
    </xf>
    <xf numFmtId="0" fontId="3" fillId="0" borderId="9" xfId="0" applyFont="1" applyBorder="1" applyAlignment="1">
      <alignment vertical="center" wrapText="1"/>
    </xf>
    <xf numFmtId="0" fontId="2" fillId="0" borderId="13" xfId="0" applyFont="1" applyBorder="1" applyAlignment="1">
      <alignment vertical="top" wrapText="1"/>
    </xf>
    <xf numFmtId="0" fontId="6" fillId="0" borderId="0" xfId="0" applyFont="1" applyAlignment="1">
      <alignment horizontal="left" vertical="top" wrapText="1"/>
    </xf>
    <xf numFmtId="0" fontId="6" fillId="0" borderId="10" xfId="0" applyFont="1" applyBorder="1" applyAlignment="1">
      <alignment horizontal="left" vertical="top" wrapText="1"/>
    </xf>
    <xf numFmtId="0" fontId="6" fillId="0" borderId="8" xfId="0" applyFont="1" applyBorder="1" applyAlignment="1">
      <alignment horizontal="left" vertical="top" wrapText="1"/>
    </xf>
    <xf numFmtId="0" fontId="6" fillId="0" borderId="2" xfId="0" applyFont="1" applyBorder="1" applyAlignment="1">
      <alignment horizontal="left" vertical="top" wrapText="1"/>
    </xf>
    <xf numFmtId="0" fontId="1" fillId="5" borderId="12" xfId="0" applyFont="1" applyFill="1" applyBorder="1" applyAlignment="1">
      <alignment horizontal="left" vertical="top" wrapText="1"/>
    </xf>
    <xf numFmtId="0" fontId="1" fillId="5" borderId="0" xfId="0" applyFont="1" applyFill="1" applyAlignment="1">
      <alignment horizontal="left" vertical="top" wrapText="1"/>
    </xf>
    <xf numFmtId="0" fontId="2" fillId="7" borderId="4" xfId="0" applyFont="1" applyFill="1" applyBorder="1" applyAlignment="1">
      <alignment horizontal="left" vertical="top"/>
    </xf>
    <xf numFmtId="0" fontId="2" fillId="7" borderId="5" xfId="0" applyFont="1" applyFill="1" applyBorder="1" applyAlignment="1">
      <alignment horizontal="left" vertical="top"/>
    </xf>
    <xf numFmtId="0" fontId="2" fillId="7" borderId="6" xfId="0" applyFont="1" applyFill="1" applyBorder="1" applyAlignment="1">
      <alignment horizontal="left" vertical="top"/>
    </xf>
    <xf numFmtId="0" fontId="2" fillId="0" borderId="7" xfId="0" applyFont="1" applyBorder="1" applyAlignment="1">
      <alignment horizontal="left" vertical="top" wrapText="1"/>
    </xf>
    <xf numFmtId="0" fontId="2" fillId="0" borderId="11" xfId="0" applyFont="1" applyBorder="1" applyAlignment="1">
      <alignment horizontal="left" vertical="top" wrapText="1"/>
    </xf>
    <xf numFmtId="0" fontId="2" fillId="0" borderId="15" xfId="0" applyFont="1" applyBorder="1" applyAlignment="1">
      <alignment horizontal="left" vertical="top" wrapText="1"/>
    </xf>
    <xf numFmtId="0" fontId="2" fillId="0" borderId="51" xfId="0" applyFont="1" applyBorder="1" applyAlignment="1">
      <alignment horizontal="left" vertical="top" wrapText="1"/>
    </xf>
    <xf numFmtId="0" fontId="2" fillId="0" borderId="23" xfId="0" applyFont="1" applyBorder="1" applyAlignment="1">
      <alignment horizontal="left" vertical="top" wrapText="1"/>
    </xf>
    <xf numFmtId="0" fontId="2" fillId="0" borderId="1" xfId="0" applyFont="1" applyBorder="1" applyAlignment="1">
      <alignment horizontal="center" vertical="center" wrapText="1"/>
    </xf>
    <xf numFmtId="0" fontId="2" fillId="0" borderId="16" xfId="0" applyFont="1" applyBorder="1" applyAlignment="1">
      <alignment horizontal="center" vertical="center" wrapText="1"/>
    </xf>
    <xf numFmtId="164" fontId="1" fillId="0" borderId="4" xfId="0" applyNumberFormat="1" applyFont="1" applyBorder="1" applyAlignment="1">
      <alignment horizontal="center" vertical="top" wrapText="1"/>
    </xf>
    <xf numFmtId="164" fontId="1" fillId="0" borderId="5" xfId="0" applyNumberFormat="1" applyFont="1" applyBorder="1" applyAlignment="1">
      <alignment horizontal="center" vertical="top" wrapText="1"/>
    </xf>
    <xf numFmtId="0" fontId="2" fillId="2" borderId="4" xfId="0" applyFont="1" applyFill="1" applyBorder="1" applyAlignment="1">
      <alignment horizontal="center" vertical="top"/>
    </xf>
    <xf numFmtId="0" fontId="2" fillId="2" borderId="5" xfId="0" applyFont="1" applyFill="1" applyBorder="1" applyAlignment="1">
      <alignment horizontal="center" vertical="top"/>
    </xf>
    <xf numFmtId="0" fontId="2" fillId="2" borderId="5" xfId="0" applyFont="1" applyFill="1" applyBorder="1" applyAlignment="1">
      <alignment horizontal="center" vertical="top" wrapText="1"/>
    </xf>
    <xf numFmtId="0" fontId="1" fillId="0" borderId="5" xfId="0" applyFont="1" applyBorder="1" applyAlignment="1">
      <alignment horizontal="center" vertical="center" wrapText="1"/>
    </xf>
    <xf numFmtId="0" fontId="2" fillId="2" borderId="6" xfId="0" applyFont="1" applyFill="1" applyBorder="1" applyAlignment="1">
      <alignment horizontal="center" vertical="top"/>
    </xf>
    <xf numFmtId="0" fontId="2" fillId="2" borderId="16" xfId="0" applyFont="1" applyFill="1" applyBorder="1" applyAlignment="1">
      <alignment horizontal="center" vertical="top"/>
    </xf>
    <xf numFmtId="0" fontId="2" fillId="2" borderId="17" xfId="0" applyFont="1" applyFill="1" applyBorder="1" applyAlignment="1">
      <alignment horizontal="center" vertical="top"/>
    </xf>
    <xf numFmtId="0" fontId="2" fillId="2" borderId="17" xfId="0" applyFont="1" applyFill="1" applyBorder="1" applyAlignment="1">
      <alignment horizontal="center" vertical="top" wrapText="1"/>
    </xf>
    <xf numFmtId="0" fontId="2" fillId="0" borderId="2" xfId="0" applyFont="1" applyBorder="1" applyAlignment="1">
      <alignment horizontal="center" vertical="center" wrapText="1"/>
    </xf>
    <xf numFmtId="164" fontId="1" fillId="0" borderId="5" xfId="0" applyNumberFormat="1" applyFont="1" applyBorder="1" applyAlignment="1">
      <alignment horizontal="left" vertical="top" wrapText="1"/>
    </xf>
    <xf numFmtId="164" fontId="1" fillId="0" borderId="6" xfId="0" applyNumberFormat="1" applyFont="1" applyBorder="1" applyAlignment="1">
      <alignment horizontal="left" vertical="top" wrapText="1"/>
    </xf>
    <xf numFmtId="0" fontId="2" fillId="3" borderId="9" xfId="0" applyFont="1" applyFill="1" applyBorder="1" applyAlignment="1">
      <alignment horizontal="left" vertical="top" wrapText="1"/>
    </xf>
    <xf numFmtId="164" fontId="2" fillId="0" borderId="1" xfId="0" applyNumberFormat="1" applyFont="1" applyBorder="1" applyAlignment="1">
      <alignment horizontal="center" vertical="center"/>
    </xf>
    <xf numFmtId="164" fontId="2" fillId="0" borderId="2" xfId="0" applyNumberFormat="1" applyFont="1" applyBorder="1" applyAlignment="1">
      <alignment horizontal="center" vertical="center"/>
    </xf>
    <xf numFmtId="0" fontId="1" fillId="3" borderId="4"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3" borderId="6" xfId="0" applyFont="1" applyFill="1" applyBorder="1" applyAlignment="1">
      <alignment horizontal="left" vertical="top" wrapText="1"/>
    </xf>
    <xf numFmtId="0" fontId="2" fillId="0" borderId="48" xfId="0" applyFont="1" applyBorder="1" applyAlignment="1">
      <alignment horizontal="center" vertical="center" wrapText="1"/>
    </xf>
    <xf numFmtId="0" fontId="2" fillId="0" borderId="47" xfId="0" applyFont="1" applyBorder="1" applyAlignment="1">
      <alignment horizontal="center" vertical="center" wrapText="1"/>
    </xf>
    <xf numFmtId="0" fontId="2" fillId="4" borderId="48" xfId="0" applyFont="1" applyFill="1" applyBorder="1" applyAlignment="1">
      <alignment horizontal="center" vertical="center" wrapText="1"/>
    </xf>
    <xf numFmtId="0" fontId="2" fillId="4" borderId="47" xfId="0" applyFont="1" applyFill="1" applyBorder="1" applyAlignment="1">
      <alignment horizontal="center" vertical="center" wrapText="1"/>
    </xf>
    <xf numFmtId="0" fontId="2" fillId="0" borderId="50"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5" xfId="0" applyFont="1" applyBorder="1" applyAlignment="1">
      <alignment horizontal="center" vertical="center" wrapText="1"/>
    </xf>
    <xf numFmtId="10" fontId="1" fillId="0" borderId="12" xfId="0" applyNumberFormat="1" applyFont="1" applyBorder="1" applyAlignment="1">
      <alignment horizontal="center" vertical="top" wrapText="1"/>
    </xf>
    <xf numFmtId="10" fontId="1" fillId="0" borderId="10" xfId="0" applyNumberFormat="1" applyFont="1" applyBorder="1" applyAlignment="1">
      <alignment horizontal="center" vertical="top" wrapText="1"/>
    </xf>
    <xf numFmtId="0" fontId="1" fillId="7" borderId="17" xfId="0" applyFont="1" applyFill="1" applyBorder="1" applyAlignment="1">
      <alignment horizontal="left" vertical="top" wrapText="1"/>
    </xf>
    <xf numFmtId="0" fontId="2" fillId="2" borderId="4" xfId="0" applyFont="1" applyFill="1" applyBorder="1" applyAlignment="1">
      <alignment horizontal="left" vertical="top"/>
    </xf>
    <xf numFmtId="0" fontId="2" fillId="2" borderId="6" xfId="0" applyFont="1" applyFill="1" applyBorder="1" applyAlignment="1">
      <alignment horizontal="left" vertical="top"/>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1" fillId="0" borderId="2" xfId="0" applyFont="1" applyBorder="1" applyAlignment="1">
      <alignment horizontal="left" vertical="center" wrapText="1"/>
    </xf>
    <xf numFmtId="0" fontId="2" fillId="0" borderId="4" xfId="0" applyFont="1" applyBorder="1" applyAlignment="1">
      <alignment horizontal="left" vertical="center" wrapText="1"/>
    </xf>
    <xf numFmtId="0" fontId="2" fillId="0" borderId="6" xfId="0" applyFont="1" applyBorder="1" applyAlignment="1">
      <alignment horizontal="left" vertical="center" wrapText="1"/>
    </xf>
    <xf numFmtId="0" fontId="1" fillId="3" borderId="1"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14" xfId="0" applyFont="1" applyFill="1" applyBorder="1" applyAlignment="1">
      <alignment horizontal="left" vertical="top" wrapText="1"/>
    </xf>
    <xf numFmtId="0" fontId="2" fillId="7" borderId="17" xfId="0" applyFont="1" applyFill="1" applyBorder="1" applyAlignment="1">
      <alignment horizontal="left" vertical="top" wrapText="1"/>
    </xf>
    <xf numFmtId="0" fontId="9" fillId="0" borderId="0" xfId="0" applyFont="1" applyAlignment="1">
      <alignment horizontal="center" vertical="top"/>
    </xf>
    <xf numFmtId="0" fontId="1" fillId="5" borderId="4" xfId="0" applyFont="1" applyFill="1" applyBorder="1" applyAlignment="1">
      <alignment horizontal="left" vertical="top" wrapText="1"/>
    </xf>
    <xf numFmtId="0" fontId="1" fillId="5" borderId="5" xfId="0" applyFont="1" applyFill="1" applyBorder="1" applyAlignment="1">
      <alignment horizontal="left" vertical="top" wrapText="1"/>
    </xf>
    <xf numFmtId="0" fontId="1" fillId="5" borderId="6" xfId="0" applyFont="1" applyFill="1" applyBorder="1" applyAlignment="1">
      <alignment horizontal="left" vertical="top" wrapText="1"/>
    </xf>
    <xf numFmtId="0" fontId="1" fillId="2" borderId="6" xfId="0" applyFont="1" applyFill="1" applyBorder="1" applyAlignment="1">
      <alignment horizontal="center" vertical="top" wrapText="1"/>
    </xf>
    <xf numFmtId="0" fontId="24" fillId="0" borderId="52" xfId="0" applyFont="1" applyBorder="1" applyAlignment="1">
      <alignment horizontal="left" vertical="top" wrapText="1"/>
    </xf>
    <xf numFmtId="0" fontId="24" fillId="0" borderId="40" xfId="0" applyFont="1" applyBorder="1" applyAlignment="1">
      <alignment horizontal="left" vertical="top" wrapText="1"/>
    </xf>
    <xf numFmtId="0" fontId="24" fillId="0" borderId="12" xfId="0" applyFont="1" applyBorder="1" applyAlignment="1">
      <alignment horizontal="left" vertical="top" wrapText="1"/>
    </xf>
    <xf numFmtId="0" fontId="24" fillId="0" borderId="0" xfId="0" applyFont="1" applyAlignment="1">
      <alignment horizontal="left" vertical="top" wrapText="1"/>
    </xf>
    <xf numFmtId="0" fontId="24" fillId="0" borderId="16" xfId="0" applyFont="1" applyBorder="1" applyAlignment="1">
      <alignment horizontal="left" vertical="top" wrapText="1"/>
    </xf>
    <xf numFmtId="0" fontId="24" fillId="0" borderId="17" xfId="0" applyFont="1" applyBorder="1" applyAlignment="1">
      <alignment horizontal="left" vertical="top"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64" fontId="2" fillId="0" borderId="8" xfId="0" applyNumberFormat="1" applyFont="1" applyBorder="1" applyAlignment="1">
      <alignment horizontal="left" vertical="top" wrapText="1"/>
    </xf>
    <xf numFmtId="164" fontId="2" fillId="0" borderId="0" xfId="0" applyNumberFormat="1" applyFont="1" applyAlignment="1">
      <alignment horizontal="left" vertical="top" wrapText="1"/>
    </xf>
    <xf numFmtId="164" fontId="2" fillId="0" borderId="17" xfId="0" applyNumberFormat="1" applyFont="1" applyBorder="1" applyAlignment="1">
      <alignment horizontal="left" vertical="top" wrapText="1"/>
    </xf>
    <xf numFmtId="0" fontId="2" fillId="0" borderId="33" xfId="0" applyFont="1" applyBorder="1" applyAlignment="1">
      <alignment horizontal="left" vertical="top" wrapText="1"/>
    </xf>
    <xf numFmtId="0" fontId="12" fillId="0" borderId="9" xfId="0" applyFont="1" applyBorder="1" applyAlignment="1">
      <alignment horizontal="left" vertical="top" wrapText="1"/>
    </xf>
    <xf numFmtId="0" fontId="12" fillId="0" borderId="13" xfId="0" applyFont="1" applyBorder="1" applyAlignment="1">
      <alignment horizontal="left" vertical="top"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164" fontId="2" fillId="0" borderId="34" xfId="0" applyNumberFormat="1" applyFont="1" applyBorder="1" applyAlignment="1">
      <alignment horizontal="left" vertical="top" wrapText="1"/>
    </xf>
    <xf numFmtId="164" fontId="2" fillId="0" borderId="37" xfId="0" applyNumberFormat="1" applyFont="1" applyBorder="1" applyAlignment="1">
      <alignment horizontal="left" vertical="top" wrapText="1"/>
    </xf>
    <xf numFmtId="0" fontId="2" fillId="0" borderId="35" xfId="0" applyFont="1" applyBorder="1" applyAlignment="1">
      <alignment horizontal="left" vertical="top" wrapText="1"/>
    </xf>
    <xf numFmtId="0" fontId="2" fillId="0" borderId="38" xfId="0" applyFont="1" applyBorder="1" applyAlignment="1">
      <alignment horizontal="left" vertical="top" wrapText="1"/>
    </xf>
    <xf numFmtId="164" fontId="2" fillId="0" borderId="31" xfId="0" applyNumberFormat="1" applyFont="1" applyBorder="1" applyAlignment="1">
      <alignment horizontal="left" vertical="top" wrapText="1"/>
    </xf>
    <xf numFmtId="164" fontId="2" fillId="0" borderId="32" xfId="0" applyNumberFormat="1" applyFont="1" applyBorder="1" applyAlignment="1">
      <alignment horizontal="left" vertical="top" wrapText="1"/>
    </xf>
    <xf numFmtId="0" fontId="2" fillId="0" borderId="3" xfId="0" applyFont="1" applyBorder="1" applyAlignment="1">
      <alignment vertical="top" wrapText="1"/>
    </xf>
    <xf numFmtId="0" fontId="1" fillId="5" borderId="27" xfId="0" applyFont="1" applyFill="1" applyBorder="1" applyAlignment="1">
      <alignment horizontal="left" vertical="center" wrapText="1"/>
    </xf>
    <xf numFmtId="0" fontId="1" fillId="5" borderId="30" xfId="0" applyFont="1" applyFill="1" applyBorder="1" applyAlignment="1">
      <alignment horizontal="left" vertical="center" wrapText="1"/>
    </xf>
    <xf numFmtId="0" fontId="1" fillId="5" borderId="41" xfId="0" applyFont="1" applyFill="1" applyBorder="1" applyAlignment="1">
      <alignment horizontal="left" vertical="center" wrapText="1"/>
    </xf>
    <xf numFmtId="0" fontId="11" fillId="0" borderId="0" xfId="0" applyFont="1" applyAlignment="1">
      <alignment horizontal="center" vertical="center" wrapText="1"/>
    </xf>
    <xf numFmtId="0" fontId="2" fillId="2" borderId="27" xfId="0" applyFont="1" applyFill="1" applyBorder="1" applyAlignment="1">
      <alignment horizontal="center" vertical="top" wrapText="1"/>
    </xf>
    <xf numFmtId="0" fontId="2" fillId="2" borderId="28" xfId="0" applyFont="1" applyFill="1" applyBorder="1" applyAlignment="1">
      <alignment horizontal="center" vertical="top" wrapText="1"/>
    </xf>
    <xf numFmtId="0" fontId="2" fillId="2" borderId="29" xfId="0" applyFont="1" applyFill="1" applyBorder="1" applyAlignment="1">
      <alignment horizontal="center" vertical="top" wrapText="1"/>
    </xf>
    <xf numFmtId="0" fontId="2" fillId="2" borderId="29" xfId="0" applyFont="1" applyFill="1" applyBorder="1" applyAlignment="1">
      <alignment horizontal="center" vertical="top"/>
    </xf>
    <xf numFmtId="0" fontId="2" fillId="2" borderId="30"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2"/>
  <sheetViews>
    <sheetView view="pageLayout" zoomScaleNormal="100" workbookViewId="0">
      <selection sqref="A1:G1"/>
    </sheetView>
  </sheetViews>
  <sheetFormatPr defaultColWidth="9.1796875" defaultRowHeight="14.5" x14ac:dyDescent="0.35"/>
  <cols>
    <col min="1" max="1" width="2.81640625" style="172" bestFit="1" customWidth="1"/>
    <col min="2" max="2" width="4" style="172" bestFit="1" customWidth="1"/>
    <col min="3" max="3" width="33.54296875" style="172" customWidth="1"/>
    <col min="4" max="4" width="9.1796875" style="172"/>
    <col min="5" max="5" width="20.7265625" style="172" customWidth="1"/>
    <col min="6" max="6" width="6.81640625" style="221" customWidth="1"/>
    <col min="7" max="7" width="11.7265625" style="221" customWidth="1"/>
    <col min="8" max="8" width="9.1796875" style="172"/>
    <col min="9" max="9" width="12.7265625" style="172" bestFit="1" customWidth="1"/>
    <col min="10" max="10" width="9.1796875" style="172"/>
    <col min="11" max="11" width="11.26953125" style="172" customWidth="1"/>
    <col min="12" max="16384" width="9.1796875" style="172"/>
  </cols>
  <sheetData>
    <row r="1" spans="1:11" ht="29.25" customHeight="1" x14ac:dyDescent="0.35">
      <c r="A1" s="354" t="s">
        <v>280</v>
      </c>
      <c r="B1" s="355"/>
      <c r="C1" s="355"/>
      <c r="D1" s="355"/>
      <c r="E1" s="355"/>
      <c r="F1" s="355"/>
      <c r="G1" s="355"/>
    </row>
    <row r="2" spans="1:11" ht="21.75" customHeight="1" x14ac:dyDescent="0.35">
      <c r="A2" s="313" t="s">
        <v>449</v>
      </c>
      <c r="B2" s="314"/>
      <c r="C2" s="314"/>
      <c r="D2" s="314"/>
      <c r="E2" s="314"/>
      <c r="F2" s="314"/>
      <c r="G2" s="314"/>
    </row>
    <row r="3" spans="1:11" ht="14.25" customHeight="1" x14ac:dyDescent="0.35">
      <c r="B3" s="45"/>
      <c r="C3" s="45"/>
      <c r="D3" s="45"/>
      <c r="E3" s="45"/>
      <c r="F3" s="16"/>
    </row>
    <row r="4" spans="1:11" x14ac:dyDescent="0.35">
      <c r="A4" s="105"/>
      <c r="B4" s="266" t="s">
        <v>0</v>
      </c>
      <c r="C4" s="270" t="s">
        <v>57</v>
      </c>
      <c r="D4" s="356" t="s">
        <v>58</v>
      </c>
      <c r="E4" s="357"/>
      <c r="F4" s="362" t="s">
        <v>59</v>
      </c>
      <c r="G4" s="363"/>
    </row>
    <row r="5" spans="1:11" ht="17.25" customHeight="1" x14ac:dyDescent="0.35">
      <c r="A5" s="334" t="s">
        <v>68</v>
      </c>
      <c r="B5" s="335"/>
      <c r="C5" s="22" t="s">
        <v>69</v>
      </c>
      <c r="D5" s="328" t="s">
        <v>70</v>
      </c>
      <c r="E5" s="329"/>
      <c r="F5" s="254"/>
      <c r="G5" s="139"/>
    </row>
    <row r="6" spans="1:11" ht="18.75" customHeight="1" x14ac:dyDescent="0.35">
      <c r="A6" s="334" t="s">
        <v>71</v>
      </c>
      <c r="B6" s="335"/>
      <c r="C6" s="22" t="s">
        <v>72</v>
      </c>
      <c r="D6" s="328" t="s">
        <v>70</v>
      </c>
      <c r="E6" s="329"/>
      <c r="F6" s="244"/>
      <c r="G6" s="140"/>
    </row>
    <row r="7" spans="1:11" ht="18" customHeight="1" x14ac:dyDescent="0.35">
      <c r="A7" s="334" t="s">
        <v>73</v>
      </c>
      <c r="B7" s="335"/>
      <c r="C7" s="22" t="s">
        <v>74</v>
      </c>
      <c r="D7" s="328" t="s">
        <v>75</v>
      </c>
      <c r="E7" s="329"/>
      <c r="F7" s="242"/>
      <c r="G7" s="140"/>
    </row>
    <row r="8" spans="1:11" x14ac:dyDescent="0.35">
      <c r="A8" s="358" t="s">
        <v>83</v>
      </c>
      <c r="B8" s="359"/>
      <c r="C8" s="50" t="s">
        <v>577</v>
      </c>
      <c r="D8" s="6">
        <v>1</v>
      </c>
      <c r="E8" s="51" t="s">
        <v>4</v>
      </c>
      <c r="F8" s="244"/>
      <c r="G8" s="140"/>
      <c r="H8" s="271"/>
      <c r="I8" s="271"/>
      <c r="J8" s="271"/>
      <c r="K8" s="271"/>
    </row>
    <row r="9" spans="1:11" x14ac:dyDescent="0.35">
      <c r="A9" s="360"/>
      <c r="B9" s="361"/>
      <c r="C9" s="43"/>
      <c r="D9" s="7">
        <f>D8+1</f>
        <v>2</v>
      </c>
      <c r="E9" s="58" t="s">
        <v>5</v>
      </c>
      <c r="F9" s="315" t="s">
        <v>440</v>
      </c>
      <c r="G9" s="316"/>
      <c r="H9" s="271"/>
      <c r="I9" s="271"/>
      <c r="J9" s="271"/>
      <c r="K9" s="271"/>
    </row>
    <row r="10" spans="1:11" ht="14.25" customHeight="1" x14ac:dyDescent="0.35">
      <c r="A10" s="27" t="s">
        <v>217</v>
      </c>
      <c r="B10" s="18">
        <v>1</v>
      </c>
      <c r="C10" s="61" t="s">
        <v>126</v>
      </c>
      <c r="D10" s="6">
        <v>1</v>
      </c>
      <c r="E10" s="106" t="s">
        <v>61</v>
      </c>
      <c r="F10" s="244"/>
      <c r="G10" s="140"/>
      <c r="H10" s="271"/>
      <c r="I10" s="271"/>
      <c r="J10" s="271"/>
      <c r="K10" s="271"/>
    </row>
    <row r="11" spans="1:11" x14ac:dyDescent="0.35">
      <c r="A11" s="47"/>
      <c r="B11" s="48"/>
      <c r="C11" s="59"/>
      <c r="D11" s="10">
        <f>D10+1</f>
        <v>2</v>
      </c>
      <c r="E11" s="262" t="s">
        <v>62</v>
      </c>
      <c r="F11" s="244"/>
      <c r="G11" s="140"/>
      <c r="H11" s="271"/>
      <c r="I11" s="271"/>
      <c r="J11" s="271"/>
      <c r="K11" s="271"/>
    </row>
    <row r="12" spans="1:11" x14ac:dyDescent="0.35">
      <c r="A12" s="49"/>
      <c r="B12" s="258"/>
      <c r="C12" s="60"/>
      <c r="D12" s="7">
        <f>D11+1</f>
        <v>3</v>
      </c>
      <c r="E12" s="21" t="s">
        <v>63</v>
      </c>
      <c r="F12" s="244"/>
      <c r="G12" s="140"/>
      <c r="H12" s="271"/>
      <c r="I12" s="271"/>
    </row>
    <row r="13" spans="1:11" x14ac:dyDescent="0.35">
      <c r="A13" s="144" t="s">
        <v>217</v>
      </c>
      <c r="B13" s="251">
        <f>B10+1</f>
        <v>2</v>
      </c>
      <c r="C13" s="320" t="s">
        <v>64</v>
      </c>
      <c r="D13" s="38">
        <v>1</v>
      </c>
      <c r="E13" s="250" t="s">
        <v>203</v>
      </c>
      <c r="F13" s="245"/>
      <c r="G13" s="139"/>
    </row>
    <row r="14" spans="1:11" ht="18" customHeight="1" x14ac:dyDescent="0.35">
      <c r="A14" s="136"/>
      <c r="B14" s="243"/>
      <c r="C14" s="312"/>
      <c r="D14" s="25">
        <f t="shared" ref="D14:D22" si="0">D13+1</f>
        <v>2</v>
      </c>
      <c r="E14" s="190" t="s">
        <v>130</v>
      </c>
      <c r="F14" s="242"/>
      <c r="G14" s="140"/>
    </row>
    <row r="15" spans="1:11" ht="15.75" customHeight="1" x14ac:dyDescent="0.35">
      <c r="A15" s="136"/>
      <c r="B15" s="243"/>
      <c r="C15" s="312"/>
      <c r="D15" s="25">
        <f t="shared" si="0"/>
        <v>3</v>
      </c>
      <c r="E15" s="190" t="s">
        <v>204</v>
      </c>
      <c r="F15" s="136"/>
      <c r="G15" s="140"/>
    </row>
    <row r="16" spans="1:11" x14ac:dyDescent="0.35">
      <c r="A16" s="136"/>
      <c r="B16" s="243"/>
      <c r="C16" s="312"/>
      <c r="D16" s="25">
        <f t="shared" si="0"/>
        <v>4</v>
      </c>
      <c r="E16" s="190" t="s">
        <v>205</v>
      </c>
      <c r="F16" s="136"/>
      <c r="G16" s="140"/>
    </row>
    <row r="17" spans="1:7" ht="15.75" customHeight="1" x14ac:dyDescent="0.35">
      <c r="A17" s="136"/>
      <c r="B17" s="243"/>
      <c r="C17" s="312"/>
      <c r="D17" s="25">
        <f t="shared" si="0"/>
        <v>5</v>
      </c>
      <c r="E17" s="190" t="s">
        <v>206</v>
      </c>
      <c r="F17" s="136"/>
      <c r="G17" s="140"/>
    </row>
    <row r="18" spans="1:7" x14ac:dyDescent="0.35">
      <c r="A18" s="136"/>
      <c r="B18" s="243"/>
      <c r="C18" s="312"/>
      <c r="D18" s="25">
        <f t="shared" si="0"/>
        <v>6</v>
      </c>
      <c r="E18" s="190" t="s">
        <v>207</v>
      </c>
      <c r="F18" s="136"/>
      <c r="G18" s="140"/>
    </row>
    <row r="19" spans="1:7" x14ac:dyDescent="0.35">
      <c r="A19" s="136"/>
      <c r="B19" s="9"/>
      <c r="C19" s="342"/>
      <c r="D19" s="25">
        <f t="shared" si="0"/>
        <v>7</v>
      </c>
      <c r="E19" s="190" t="s">
        <v>208</v>
      </c>
      <c r="F19" s="136"/>
      <c r="G19" s="140"/>
    </row>
    <row r="20" spans="1:7" x14ac:dyDescent="0.35">
      <c r="A20" s="136"/>
      <c r="B20" s="9"/>
      <c r="C20" s="342"/>
      <c r="D20" s="25">
        <f t="shared" si="0"/>
        <v>8</v>
      </c>
      <c r="E20" s="190" t="s">
        <v>209</v>
      </c>
      <c r="F20" s="136"/>
      <c r="G20" s="140"/>
    </row>
    <row r="21" spans="1:7" x14ac:dyDescent="0.35">
      <c r="A21" s="136"/>
      <c r="B21" s="9"/>
      <c r="C21" s="342"/>
      <c r="D21" s="25">
        <f t="shared" si="0"/>
        <v>9</v>
      </c>
      <c r="E21" s="190" t="s">
        <v>210</v>
      </c>
      <c r="F21" s="136"/>
      <c r="G21" s="140"/>
    </row>
    <row r="22" spans="1:7" x14ac:dyDescent="0.35">
      <c r="A22" s="136"/>
      <c r="B22" s="9"/>
      <c r="C22" s="342"/>
      <c r="D22" s="25">
        <f t="shared" si="0"/>
        <v>10</v>
      </c>
      <c r="E22" s="190" t="s">
        <v>211</v>
      </c>
      <c r="F22" s="136"/>
      <c r="G22" s="140"/>
    </row>
    <row r="23" spans="1:7" x14ac:dyDescent="0.35">
      <c r="A23" s="136"/>
      <c r="B23" s="9"/>
      <c r="C23" s="342"/>
      <c r="D23" s="25">
        <f>D22+1</f>
        <v>11</v>
      </c>
      <c r="E23" s="190" t="s">
        <v>212</v>
      </c>
      <c r="F23" s="136"/>
      <c r="G23" s="140"/>
    </row>
    <row r="24" spans="1:7" ht="16.5" customHeight="1" x14ac:dyDescent="0.35">
      <c r="A24" s="137"/>
      <c r="B24" s="261"/>
      <c r="C24" s="324"/>
      <c r="D24" s="26">
        <v>-66</v>
      </c>
      <c r="E24" s="260" t="s">
        <v>308</v>
      </c>
      <c r="F24" s="137"/>
      <c r="G24" s="141"/>
    </row>
    <row r="25" spans="1:7" ht="20.149999999999999" customHeight="1" x14ac:dyDescent="0.35">
      <c r="A25" s="27" t="s">
        <v>217</v>
      </c>
      <c r="B25" s="33">
        <f>B13+1</f>
        <v>3</v>
      </c>
      <c r="C25" s="22" t="s">
        <v>578</v>
      </c>
      <c r="D25" s="328"/>
      <c r="E25" s="329"/>
      <c r="F25" s="98"/>
      <c r="G25" s="142"/>
    </row>
    <row r="26" spans="1:7" ht="20.149999999999999" customHeight="1" x14ac:dyDescent="0.35">
      <c r="A26" s="47" t="s">
        <v>217</v>
      </c>
      <c r="B26" s="33">
        <f>B25+1</f>
        <v>4</v>
      </c>
      <c r="C26" s="22" t="s">
        <v>65</v>
      </c>
      <c r="D26" s="328"/>
      <c r="E26" s="329"/>
      <c r="F26" s="98"/>
      <c r="G26" s="142"/>
    </row>
    <row r="27" spans="1:7" ht="20.149999999999999" customHeight="1" x14ac:dyDescent="0.35">
      <c r="A27" s="47" t="s">
        <v>217</v>
      </c>
      <c r="B27" s="33">
        <f>B26+1</f>
        <v>5</v>
      </c>
      <c r="C27" s="22" t="s">
        <v>66</v>
      </c>
      <c r="D27" s="328"/>
      <c r="E27" s="329"/>
      <c r="F27" s="351" t="s">
        <v>445</v>
      </c>
      <c r="G27" s="352"/>
    </row>
    <row r="28" spans="1:7" ht="20.149999999999999" customHeight="1" x14ac:dyDescent="0.35">
      <c r="A28" s="49" t="s">
        <v>217</v>
      </c>
      <c r="B28" s="33">
        <f>B27+1</f>
        <v>6</v>
      </c>
      <c r="C28" s="22" t="s">
        <v>67</v>
      </c>
      <c r="D28" s="328"/>
      <c r="E28" s="329"/>
      <c r="F28" s="98"/>
      <c r="G28" s="142"/>
    </row>
    <row r="29" spans="1:7" ht="20.149999999999999" customHeight="1" x14ac:dyDescent="0.35">
      <c r="A29" s="46" t="s">
        <v>217</v>
      </c>
      <c r="B29" s="33">
        <v>7</v>
      </c>
      <c r="C29" s="22" t="s">
        <v>76</v>
      </c>
      <c r="D29" s="328"/>
      <c r="E29" s="329"/>
      <c r="F29" s="255"/>
      <c r="G29" s="142"/>
    </row>
    <row r="30" spans="1:7" ht="20.149999999999999" customHeight="1" x14ac:dyDescent="0.35">
      <c r="A30" s="46" t="s">
        <v>217</v>
      </c>
      <c r="B30" s="33">
        <f>B29+1</f>
        <v>8</v>
      </c>
      <c r="C30" s="22" t="s">
        <v>77</v>
      </c>
      <c r="D30" s="345" t="s">
        <v>78</v>
      </c>
      <c r="E30" s="346"/>
      <c r="F30" s="255"/>
      <c r="G30" s="142"/>
    </row>
    <row r="31" spans="1:7" ht="20.149999999999999" customHeight="1" x14ac:dyDescent="0.35">
      <c r="A31" s="46" t="s">
        <v>217</v>
      </c>
      <c r="B31" s="33">
        <f>B30+1</f>
        <v>9</v>
      </c>
      <c r="C31" s="22" t="s">
        <v>79</v>
      </c>
      <c r="D31" s="328"/>
      <c r="E31" s="329"/>
      <c r="F31" s="255"/>
      <c r="G31" s="142"/>
    </row>
    <row r="32" spans="1:7" ht="20.149999999999999" customHeight="1" x14ac:dyDescent="0.35">
      <c r="A32" s="46" t="s">
        <v>217</v>
      </c>
      <c r="B32" s="33">
        <f>B31+1</f>
        <v>10</v>
      </c>
      <c r="C32" s="22" t="s">
        <v>80</v>
      </c>
      <c r="D32" s="345" t="s">
        <v>78</v>
      </c>
      <c r="E32" s="346"/>
      <c r="F32" s="255"/>
      <c r="G32" s="142"/>
    </row>
    <row r="33" spans="1:7" x14ac:dyDescent="0.35">
      <c r="A33" s="27" t="s">
        <v>217</v>
      </c>
      <c r="B33" s="340">
        <f>B32+1</f>
        <v>11</v>
      </c>
      <c r="C33" s="50" t="s">
        <v>81</v>
      </c>
      <c r="D33" s="6">
        <v>1</v>
      </c>
      <c r="E33" s="51" t="s">
        <v>82</v>
      </c>
      <c r="F33" s="245"/>
      <c r="G33" s="139"/>
    </row>
    <row r="34" spans="1:7" x14ac:dyDescent="0.35">
      <c r="A34" s="108"/>
      <c r="B34" s="353"/>
      <c r="C34" s="43"/>
      <c r="D34" s="7">
        <f>D33:E33+1</f>
        <v>2</v>
      </c>
      <c r="E34" s="58" t="s">
        <v>5</v>
      </c>
      <c r="F34" s="143"/>
      <c r="G34" s="141"/>
    </row>
    <row r="35" spans="1:7" ht="18.75" customHeight="1" x14ac:dyDescent="0.35">
      <c r="B35" s="349" t="s">
        <v>84</v>
      </c>
      <c r="C35" s="350"/>
      <c r="D35" s="350"/>
      <c r="E35" s="350"/>
      <c r="F35" s="136"/>
      <c r="G35" s="9"/>
    </row>
    <row r="36" spans="1:7" x14ac:dyDescent="0.35">
      <c r="A36" s="27" t="s">
        <v>217</v>
      </c>
      <c r="B36" s="340">
        <v>12</v>
      </c>
      <c r="C36" s="336" t="s">
        <v>534</v>
      </c>
      <c r="D36" s="24">
        <v>1</v>
      </c>
      <c r="E36" s="246" t="s">
        <v>4</v>
      </c>
      <c r="F36" s="144" t="s">
        <v>568</v>
      </c>
      <c r="G36" s="8"/>
    </row>
    <row r="37" spans="1:7" x14ac:dyDescent="0.35">
      <c r="A37" s="108"/>
      <c r="B37" s="353"/>
      <c r="C37" s="337"/>
      <c r="D37" s="25">
        <v>2</v>
      </c>
      <c r="E37" s="243" t="s">
        <v>5</v>
      </c>
      <c r="F37" s="137"/>
      <c r="G37" s="261"/>
    </row>
    <row r="38" spans="1:7" ht="18.75" customHeight="1" x14ac:dyDescent="0.35">
      <c r="A38" s="46" t="s">
        <v>217</v>
      </c>
      <c r="B38" s="33">
        <f>B33+1</f>
        <v>12</v>
      </c>
      <c r="C38" s="22" t="s">
        <v>85</v>
      </c>
      <c r="D38" s="328"/>
      <c r="E38" s="329"/>
      <c r="F38" s="145"/>
      <c r="G38" s="146"/>
    </row>
    <row r="39" spans="1:7" x14ac:dyDescent="0.35">
      <c r="A39" s="46" t="s">
        <v>217</v>
      </c>
      <c r="B39" s="33">
        <f t="shared" ref="B39:B44" si="1">B38+1</f>
        <v>13</v>
      </c>
      <c r="C39" s="22" t="s">
        <v>86</v>
      </c>
      <c r="D39" s="328"/>
      <c r="E39" s="329"/>
      <c r="F39" s="255"/>
      <c r="G39" s="142"/>
    </row>
    <row r="40" spans="1:7" ht="18.75" customHeight="1" x14ac:dyDescent="0.35">
      <c r="A40" s="46" t="s">
        <v>217</v>
      </c>
      <c r="B40" s="33">
        <f t="shared" si="1"/>
        <v>14</v>
      </c>
      <c r="C40" s="22" t="s">
        <v>87</v>
      </c>
      <c r="D40" s="328"/>
      <c r="E40" s="329"/>
      <c r="F40" s="255"/>
      <c r="G40" s="142"/>
    </row>
    <row r="41" spans="1:7" x14ac:dyDescent="0.35">
      <c r="A41" s="46" t="s">
        <v>217</v>
      </c>
      <c r="B41" s="33">
        <f t="shared" si="1"/>
        <v>15</v>
      </c>
      <c r="C41" s="22" t="s">
        <v>88</v>
      </c>
      <c r="D41" s="328"/>
      <c r="E41" s="329"/>
      <c r="F41" s="98"/>
      <c r="G41" s="142"/>
    </row>
    <row r="42" spans="1:7" x14ac:dyDescent="0.35">
      <c r="A42" s="46" t="s">
        <v>217</v>
      </c>
      <c r="B42" s="33">
        <f t="shared" si="1"/>
        <v>16</v>
      </c>
      <c r="C42" s="53" t="s">
        <v>89</v>
      </c>
      <c r="D42" s="328"/>
      <c r="E42" s="329"/>
      <c r="F42" s="255"/>
      <c r="G42" s="142"/>
    </row>
    <row r="43" spans="1:7" ht="15" customHeight="1" x14ac:dyDescent="0.35">
      <c r="A43" s="46" t="s">
        <v>217</v>
      </c>
      <c r="B43" s="33">
        <f t="shared" si="1"/>
        <v>17</v>
      </c>
      <c r="C43" s="22" t="s">
        <v>90</v>
      </c>
      <c r="D43" s="328"/>
      <c r="E43" s="329"/>
      <c r="F43" s="255"/>
      <c r="G43" s="256"/>
    </row>
    <row r="44" spans="1:7" ht="15" customHeight="1" x14ac:dyDescent="0.35">
      <c r="A44" s="46" t="s">
        <v>217</v>
      </c>
      <c r="B44" s="340">
        <f t="shared" si="1"/>
        <v>18</v>
      </c>
      <c r="C44" s="323" t="s">
        <v>291</v>
      </c>
      <c r="D44" s="6">
        <v>1</v>
      </c>
      <c r="E44" s="246" t="s">
        <v>4</v>
      </c>
      <c r="F44" s="311" t="s">
        <v>290</v>
      </c>
      <c r="G44" s="312"/>
    </row>
    <row r="45" spans="1:7" ht="25.5" customHeight="1" x14ac:dyDescent="0.35">
      <c r="A45" s="46"/>
      <c r="B45" s="353"/>
      <c r="C45" s="324"/>
      <c r="D45" s="10">
        <f>D44+1</f>
        <v>2</v>
      </c>
      <c r="E45" s="243" t="s">
        <v>5</v>
      </c>
      <c r="F45" s="311"/>
      <c r="G45" s="312"/>
    </row>
    <row r="46" spans="1:7" x14ac:dyDescent="0.35">
      <c r="A46" s="46" t="s">
        <v>217</v>
      </c>
      <c r="B46" s="33">
        <f>B44+1</f>
        <v>19</v>
      </c>
      <c r="C46" s="22" t="s">
        <v>288</v>
      </c>
      <c r="D46" s="345" t="s">
        <v>292</v>
      </c>
      <c r="E46" s="346"/>
      <c r="F46" s="242"/>
      <c r="G46" s="243"/>
    </row>
    <row r="47" spans="1:7" ht="26" x14ac:dyDescent="0.35">
      <c r="A47" s="27" t="s">
        <v>217</v>
      </c>
      <c r="B47" s="18">
        <f>B46+1</f>
        <v>20</v>
      </c>
      <c r="C47" s="54" t="s">
        <v>240</v>
      </c>
      <c r="D47" s="330"/>
      <c r="E47" s="331"/>
      <c r="F47" s="242"/>
      <c r="G47" s="243"/>
    </row>
    <row r="48" spans="1:7" ht="30" customHeight="1" x14ac:dyDescent="0.35">
      <c r="A48" s="27"/>
      <c r="B48" s="18"/>
      <c r="C48" s="320" t="s">
        <v>281</v>
      </c>
      <c r="D48" s="6">
        <v>1</v>
      </c>
      <c r="E48" s="251" t="s">
        <v>293</v>
      </c>
      <c r="F48" s="242"/>
      <c r="G48" s="140"/>
    </row>
    <row r="49" spans="1:11" ht="26" x14ac:dyDescent="0.35">
      <c r="A49" s="47"/>
      <c r="B49" s="48"/>
      <c r="C49" s="312"/>
      <c r="D49" s="10">
        <v>2</v>
      </c>
      <c r="E49" s="115" t="s">
        <v>294</v>
      </c>
      <c r="F49" s="242"/>
      <c r="G49" s="140"/>
    </row>
    <row r="50" spans="1:11" ht="39" x14ac:dyDescent="0.35">
      <c r="A50" s="47"/>
      <c r="B50" s="48"/>
      <c r="C50" s="312"/>
      <c r="D50" s="10">
        <v>3</v>
      </c>
      <c r="E50" s="115" t="s">
        <v>295</v>
      </c>
      <c r="F50" s="242"/>
      <c r="G50" s="140"/>
    </row>
    <row r="51" spans="1:11" x14ac:dyDescent="0.35">
      <c r="A51" s="47"/>
      <c r="B51" s="48"/>
      <c r="C51" s="312"/>
      <c r="D51" s="10">
        <v>-88</v>
      </c>
      <c r="E51" s="243" t="s">
        <v>7</v>
      </c>
      <c r="F51" s="242"/>
      <c r="G51" s="140"/>
    </row>
    <row r="52" spans="1:11" x14ac:dyDescent="0.35">
      <c r="A52" s="49"/>
      <c r="B52" s="258"/>
      <c r="C52" s="322"/>
      <c r="D52" s="7">
        <v>-99</v>
      </c>
      <c r="E52" s="247" t="s">
        <v>20</v>
      </c>
      <c r="F52" s="242"/>
      <c r="G52" s="140"/>
    </row>
    <row r="53" spans="1:11" x14ac:dyDescent="0.35">
      <c r="A53" s="47"/>
      <c r="B53" s="48"/>
      <c r="C53" s="323" t="s">
        <v>296</v>
      </c>
      <c r="D53" s="6">
        <v>1</v>
      </c>
      <c r="E53" s="251" t="s">
        <v>297</v>
      </c>
      <c r="F53" s="311" t="s">
        <v>299</v>
      </c>
      <c r="G53" s="312"/>
    </row>
    <row r="54" spans="1:11" x14ac:dyDescent="0.35">
      <c r="A54" s="47"/>
      <c r="B54" s="48"/>
      <c r="C54" s="324"/>
      <c r="D54" s="10">
        <v>2</v>
      </c>
      <c r="E54" s="115" t="s">
        <v>298</v>
      </c>
      <c r="F54" s="311"/>
      <c r="G54" s="312"/>
    </row>
    <row r="55" spans="1:11" ht="18" customHeight="1" x14ac:dyDescent="0.35">
      <c r="A55" s="47" t="s">
        <v>217</v>
      </c>
      <c r="B55" s="48">
        <f>B47+1</f>
        <v>21</v>
      </c>
      <c r="C55" s="325" t="s">
        <v>91</v>
      </c>
      <c r="D55" s="6">
        <v>1</v>
      </c>
      <c r="E55" s="251" t="s">
        <v>216</v>
      </c>
      <c r="F55" s="347" t="s">
        <v>300</v>
      </c>
      <c r="G55" s="348"/>
    </row>
    <row r="56" spans="1:11" x14ac:dyDescent="0.35">
      <c r="A56" s="47"/>
      <c r="B56" s="48"/>
      <c r="C56" s="326"/>
      <c r="D56" s="10">
        <v>2</v>
      </c>
      <c r="E56" s="115" t="s">
        <v>199</v>
      </c>
      <c r="F56" s="315"/>
      <c r="G56" s="316"/>
    </row>
    <row r="57" spans="1:11" ht="27.75" customHeight="1" x14ac:dyDescent="0.35">
      <c r="A57" s="47"/>
      <c r="B57" s="48"/>
      <c r="C57" s="326"/>
      <c r="D57" s="10">
        <v>3</v>
      </c>
      <c r="E57" s="115" t="s">
        <v>200</v>
      </c>
      <c r="F57" s="315"/>
      <c r="G57" s="316"/>
    </row>
    <row r="58" spans="1:11" ht="27.75" customHeight="1" x14ac:dyDescent="0.35">
      <c r="A58" s="49"/>
      <c r="B58" s="258"/>
      <c r="C58" s="327"/>
      <c r="D58" s="7">
        <v>4</v>
      </c>
      <c r="E58" s="96" t="s">
        <v>201</v>
      </c>
      <c r="F58" s="317"/>
      <c r="G58" s="318"/>
    </row>
    <row r="59" spans="1:11" ht="25.5" customHeight="1" x14ac:dyDescent="0.35">
      <c r="A59" s="47" t="s">
        <v>217</v>
      </c>
      <c r="B59" s="48">
        <f>B55</f>
        <v>21</v>
      </c>
      <c r="C59" s="50" t="s">
        <v>202</v>
      </c>
      <c r="D59" s="332"/>
      <c r="E59" s="333"/>
      <c r="F59" s="255"/>
      <c r="G59" s="256"/>
    </row>
    <row r="60" spans="1:11" x14ac:dyDescent="0.35">
      <c r="A60" s="338" t="s">
        <v>217</v>
      </c>
      <c r="B60" s="340">
        <f>B55</f>
        <v>21</v>
      </c>
      <c r="C60" s="323" t="s">
        <v>264</v>
      </c>
      <c r="D60" s="6">
        <v>1</v>
      </c>
      <c r="E60" s="246" t="s">
        <v>4</v>
      </c>
      <c r="F60" s="144"/>
      <c r="G60" s="139"/>
    </row>
    <row r="61" spans="1:11" x14ac:dyDescent="0.35">
      <c r="A61" s="339"/>
      <c r="B61" s="341"/>
      <c r="C61" s="342"/>
      <c r="D61" s="10">
        <v>2</v>
      </c>
      <c r="E61" s="243" t="s">
        <v>5</v>
      </c>
      <c r="F61" s="64"/>
      <c r="G61" s="140"/>
      <c r="J61" s="62"/>
      <c r="K61" s="62"/>
    </row>
    <row r="62" spans="1:11" x14ac:dyDescent="0.35">
      <c r="A62" s="69"/>
      <c r="B62" s="9"/>
      <c r="C62" s="342"/>
      <c r="D62" s="10">
        <v>-88</v>
      </c>
      <c r="E62" s="243" t="s">
        <v>7</v>
      </c>
      <c r="F62" s="136"/>
      <c r="G62" s="243"/>
      <c r="J62" s="62"/>
      <c r="K62" s="62"/>
    </row>
    <row r="63" spans="1:11" x14ac:dyDescent="0.35">
      <c r="A63" s="71"/>
      <c r="B63" s="261"/>
      <c r="C63" s="324"/>
      <c r="D63" s="7">
        <v>-99</v>
      </c>
      <c r="E63" s="247" t="s">
        <v>20</v>
      </c>
      <c r="F63" s="137"/>
      <c r="G63" s="247"/>
      <c r="J63" s="62"/>
      <c r="K63" s="62"/>
    </row>
    <row r="64" spans="1:11" ht="16.5" customHeight="1" x14ac:dyDescent="0.35">
      <c r="A64" s="27" t="s">
        <v>263</v>
      </c>
      <c r="B64" s="33">
        <f>B60+1</f>
        <v>22</v>
      </c>
      <c r="C64" s="323" t="s">
        <v>92</v>
      </c>
      <c r="D64" s="55">
        <v>1</v>
      </c>
      <c r="E64" s="51" t="s">
        <v>4</v>
      </c>
      <c r="F64" s="319" t="s">
        <v>446</v>
      </c>
      <c r="G64" s="320"/>
    </row>
    <row r="65" spans="1:7" ht="51.75" customHeight="1" x14ac:dyDescent="0.35">
      <c r="A65" s="49"/>
      <c r="B65" s="258"/>
      <c r="C65" s="324"/>
      <c r="D65" s="149">
        <f>D64+1</f>
        <v>2</v>
      </c>
      <c r="E65" s="58" t="s">
        <v>5</v>
      </c>
      <c r="F65" s="321"/>
      <c r="G65" s="322"/>
    </row>
    <row r="66" spans="1:7" x14ac:dyDescent="0.35">
      <c r="A66" s="27" t="s">
        <v>263</v>
      </c>
      <c r="B66" s="18">
        <f>B64+1</f>
        <v>23</v>
      </c>
      <c r="C66" s="323" t="s">
        <v>93</v>
      </c>
      <c r="D66" s="6">
        <v>1</v>
      </c>
      <c r="E66" s="51" t="s">
        <v>4</v>
      </c>
      <c r="F66" s="319" t="s">
        <v>109</v>
      </c>
      <c r="G66" s="320"/>
    </row>
    <row r="67" spans="1:7" x14ac:dyDescent="0.35">
      <c r="A67" s="107"/>
      <c r="B67" s="48"/>
      <c r="C67" s="342"/>
      <c r="D67" s="10">
        <f>D66+1</f>
        <v>2</v>
      </c>
      <c r="E67" s="57" t="s">
        <v>94</v>
      </c>
      <c r="F67" s="311"/>
      <c r="G67" s="312"/>
    </row>
    <row r="68" spans="1:7" x14ac:dyDescent="0.35">
      <c r="A68" s="107"/>
      <c r="B68" s="48"/>
      <c r="C68" s="342"/>
      <c r="D68" s="10">
        <f>D67+1</f>
        <v>3</v>
      </c>
      <c r="E68" s="57" t="s">
        <v>95</v>
      </c>
      <c r="F68" s="311"/>
      <c r="G68" s="312"/>
    </row>
    <row r="69" spans="1:7" x14ac:dyDescent="0.35">
      <c r="A69" s="107"/>
      <c r="B69" s="48"/>
      <c r="C69" s="252"/>
      <c r="D69" s="10">
        <f>D68+1</f>
        <v>4</v>
      </c>
      <c r="E69" s="57" t="s">
        <v>96</v>
      </c>
      <c r="F69" s="311"/>
      <c r="G69" s="312"/>
    </row>
    <row r="70" spans="1:7" x14ac:dyDescent="0.35">
      <c r="A70" s="107"/>
      <c r="B70" s="48"/>
      <c r="C70" s="252"/>
      <c r="D70" s="10">
        <v>5</v>
      </c>
      <c r="E70" s="57" t="s">
        <v>97</v>
      </c>
      <c r="F70" s="311"/>
      <c r="G70" s="312"/>
    </row>
    <row r="71" spans="1:7" x14ac:dyDescent="0.35">
      <c r="A71" s="108"/>
      <c r="B71" s="258"/>
      <c r="C71" s="151"/>
      <c r="D71" s="7">
        <v>-66</v>
      </c>
      <c r="E71" s="58" t="s">
        <v>441</v>
      </c>
      <c r="F71" s="321"/>
      <c r="G71" s="322"/>
    </row>
    <row r="72" spans="1:7" x14ac:dyDescent="0.35">
      <c r="A72" s="107"/>
      <c r="B72" s="253">
        <f>B66+1</f>
        <v>24</v>
      </c>
      <c r="C72" s="344" t="s">
        <v>579</v>
      </c>
      <c r="D72" s="10">
        <v>1</v>
      </c>
      <c r="E72" s="56" t="s">
        <v>4</v>
      </c>
      <c r="F72" s="311" t="s">
        <v>447</v>
      </c>
      <c r="G72" s="312"/>
    </row>
    <row r="73" spans="1:7" ht="129" customHeight="1" x14ac:dyDescent="0.35">
      <c r="A73" s="107"/>
      <c r="B73" s="253"/>
      <c r="C73" s="344"/>
      <c r="D73" s="10">
        <v>2</v>
      </c>
      <c r="E73" s="56" t="s">
        <v>5</v>
      </c>
      <c r="F73" s="311"/>
      <c r="G73" s="312"/>
    </row>
    <row r="74" spans="1:7" ht="26" x14ac:dyDescent="0.35">
      <c r="A74" s="27"/>
      <c r="B74" s="150">
        <f>B72+1</f>
        <v>25</v>
      </c>
      <c r="C74" s="323" t="s">
        <v>98</v>
      </c>
      <c r="D74" s="6">
        <v>1</v>
      </c>
      <c r="E74" s="51" t="s">
        <v>99</v>
      </c>
      <c r="F74" s="147"/>
      <c r="G74" s="139"/>
    </row>
    <row r="75" spans="1:7" ht="26" x14ac:dyDescent="0.35">
      <c r="A75" s="107"/>
      <c r="B75" s="253"/>
      <c r="C75" s="342"/>
      <c r="D75" s="10">
        <f>D74+1</f>
        <v>2</v>
      </c>
      <c r="E75" s="56" t="s">
        <v>100</v>
      </c>
      <c r="F75" s="148"/>
      <c r="G75" s="140"/>
    </row>
    <row r="76" spans="1:7" ht="52" x14ac:dyDescent="0.35">
      <c r="A76" s="107"/>
      <c r="B76" s="340"/>
      <c r="C76" s="252"/>
      <c r="D76" s="10">
        <f>D75+1</f>
        <v>3</v>
      </c>
      <c r="E76" s="56" t="s">
        <v>101</v>
      </c>
      <c r="F76" s="311" t="s">
        <v>102</v>
      </c>
      <c r="G76" s="312"/>
    </row>
    <row r="77" spans="1:7" ht="39.75" customHeight="1" x14ac:dyDescent="0.35">
      <c r="A77" s="107"/>
      <c r="B77" s="343"/>
      <c r="C77" s="252"/>
      <c r="D77" s="10">
        <f>D76+1</f>
        <v>4</v>
      </c>
      <c r="E77" s="56" t="s">
        <v>103</v>
      </c>
      <c r="F77" s="311" t="s">
        <v>448</v>
      </c>
      <c r="G77" s="312"/>
    </row>
    <row r="78" spans="1:7" ht="68.25" customHeight="1" x14ac:dyDescent="0.35">
      <c r="A78" s="108"/>
      <c r="B78" s="257"/>
      <c r="C78" s="249"/>
      <c r="D78" s="7">
        <f>D77+1</f>
        <v>5</v>
      </c>
      <c r="E78" s="58" t="s">
        <v>104</v>
      </c>
      <c r="F78" s="311" t="s">
        <v>448</v>
      </c>
      <c r="G78" s="312"/>
    </row>
    <row r="79" spans="1:7" ht="26" x14ac:dyDescent="0.35">
      <c r="A79" s="47"/>
      <c r="B79" s="115">
        <f>B74+1</f>
        <v>26</v>
      </c>
      <c r="C79" s="342" t="s">
        <v>105</v>
      </c>
      <c r="D79" s="10">
        <v>1</v>
      </c>
      <c r="E79" s="56" t="s">
        <v>106</v>
      </c>
      <c r="F79" s="147"/>
      <c r="G79" s="139"/>
    </row>
    <row r="80" spans="1:7" ht="26" x14ac:dyDescent="0.35">
      <c r="A80" s="107"/>
      <c r="B80" s="253"/>
      <c r="C80" s="342"/>
      <c r="D80" s="10">
        <f>D79+1</f>
        <v>2</v>
      </c>
      <c r="E80" s="56" t="s">
        <v>125</v>
      </c>
      <c r="F80" s="148"/>
      <c r="G80" s="140"/>
    </row>
    <row r="81" spans="1:7" ht="27.75" customHeight="1" x14ac:dyDescent="0.35">
      <c r="A81" s="107"/>
      <c r="B81" s="253"/>
      <c r="C81" s="342"/>
      <c r="D81" s="10">
        <f>D80+1</f>
        <v>3</v>
      </c>
      <c r="E81" s="56" t="s">
        <v>107</v>
      </c>
      <c r="F81" s="311" t="s">
        <v>102</v>
      </c>
      <c r="G81" s="312"/>
    </row>
    <row r="82" spans="1:7" ht="27.75" customHeight="1" x14ac:dyDescent="0.35">
      <c r="A82" s="108"/>
      <c r="B82" s="257"/>
      <c r="C82" s="249"/>
      <c r="D82" s="7">
        <f>D81+1</f>
        <v>4</v>
      </c>
      <c r="E82" s="58" t="s">
        <v>108</v>
      </c>
      <c r="F82" s="321"/>
      <c r="G82" s="322"/>
    </row>
  </sheetData>
  <mergeCells count="63">
    <mergeCell ref="A1:G1"/>
    <mergeCell ref="F44:G45"/>
    <mergeCell ref="D5:E5"/>
    <mergeCell ref="B33:B34"/>
    <mergeCell ref="A6:B6"/>
    <mergeCell ref="D6:E6"/>
    <mergeCell ref="D4:E4"/>
    <mergeCell ref="A8:B9"/>
    <mergeCell ref="C13:C18"/>
    <mergeCell ref="C19:C24"/>
    <mergeCell ref="B44:B45"/>
    <mergeCell ref="D25:E25"/>
    <mergeCell ref="D26:E26"/>
    <mergeCell ref="D27:E27"/>
    <mergeCell ref="D28:E28"/>
    <mergeCell ref="F4:G4"/>
    <mergeCell ref="D46:E46"/>
    <mergeCell ref="F55:G55"/>
    <mergeCell ref="A7:B7"/>
    <mergeCell ref="D7:E7"/>
    <mergeCell ref="D29:E29"/>
    <mergeCell ref="D30:E30"/>
    <mergeCell ref="D31:E31"/>
    <mergeCell ref="D32:E32"/>
    <mergeCell ref="B35:E35"/>
    <mergeCell ref="D38:E38"/>
    <mergeCell ref="D39:E39"/>
    <mergeCell ref="D40:E40"/>
    <mergeCell ref="F9:G9"/>
    <mergeCell ref="F27:G27"/>
    <mergeCell ref="B36:B37"/>
    <mergeCell ref="F81:G82"/>
    <mergeCell ref="F53:G54"/>
    <mergeCell ref="A5:B5"/>
    <mergeCell ref="C36:C37"/>
    <mergeCell ref="C44:C45"/>
    <mergeCell ref="A60:A61"/>
    <mergeCell ref="B60:B61"/>
    <mergeCell ref="C60:C63"/>
    <mergeCell ref="C48:C52"/>
    <mergeCell ref="C53:C54"/>
    <mergeCell ref="C79:C81"/>
    <mergeCell ref="C66:C68"/>
    <mergeCell ref="B76:B77"/>
    <mergeCell ref="C74:C75"/>
    <mergeCell ref="F76:G76"/>
    <mergeCell ref="C72:C73"/>
    <mergeCell ref="F77:G77"/>
    <mergeCell ref="F78:G78"/>
    <mergeCell ref="A2:G2"/>
    <mergeCell ref="F72:G73"/>
    <mergeCell ref="F56:G56"/>
    <mergeCell ref="F57:G57"/>
    <mergeCell ref="F58:G58"/>
    <mergeCell ref="F64:G65"/>
    <mergeCell ref="F66:G71"/>
    <mergeCell ref="C64:C65"/>
    <mergeCell ref="C55:C58"/>
    <mergeCell ref="D41:E41"/>
    <mergeCell ref="D42:E42"/>
    <mergeCell ref="D43:E43"/>
    <mergeCell ref="D47:E47"/>
    <mergeCell ref="D59:E59"/>
  </mergeCells>
  <pageMargins left="0.7" right="0.7" top="0.75" bottom="0.75" header="0.3" footer="0.3"/>
  <pageSetup orientation="portrait" r:id="rId1"/>
  <headerFooter>
    <oddHeader xml:space="preserve">&amp;CA. INTRODUCTION   
</oddHeader>
  </headerFooter>
  <rowBreaks count="2" manualBreakCount="2">
    <brk id="34" max="16383" man="1"/>
    <brk id="6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3"/>
  <sheetViews>
    <sheetView view="pageLayout" zoomScaleNormal="100" workbookViewId="0">
      <selection sqref="A1:F1"/>
    </sheetView>
  </sheetViews>
  <sheetFormatPr defaultColWidth="9.1796875" defaultRowHeight="14.5" x14ac:dyDescent="0.35"/>
  <cols>
    <col min="1" max="1" width="2.54296875" style="172" customWidth="1"/>
    <col min="2" max="2" width="4" style="172" customWidth="1"/>
    <col min="3" max="3" width="36.81640625" style="172" customWidth="1"/>
    <col min="4" max="4" width="4.453125" style="172" customWidth="1"/>
    <col min="5" max="5" width="35.26953125" style="172" customWidth="1"/>
    <col min="6" max="6" width="7" style="172" customWidth="1"/>
    <col min="7" max="16384" width="9.1796875" style="172"/>
  </cols>
  <sheetData>
    <row r="1" spans="1:6" x14ac:dyDescent="0.35">
      <c r="A1" s="364" t="s">
        <v>604</v>
      </c>
      <c r="B1" s="365"/>
      <c r="C1" s="365"/>
      <c r="D1" s="365"/>
      <c r="E1" s="365"/>
      <c r="F1" s="365"/>
    </row>
    <row r="2" spans="1:6" x14ac:dyDescent="0.35">
      <c r="A2" s="273"/>
      <c r="B2" s="274"/>
      <c r="C2" s="275"/>
      <c r="D2" s="275"/>
      <c r="E2" s="275"/>
      <c r="F2" s="275"/>
    </row>
    <row r="3" spans="1:6" x14ac:dyDescent="0.35">
      <c r="A3" s="356" t="s">
        <v>0</v>
      </c>
      <c r="B3" s="357"/>
      <c r="C3" s="270" t="s">
        <v>57</v>
      </c>
      <c r="D3" s="356" t="s">
        <v>58</v>
      </c>
      <c r="E3" s="357"/>
      <c r="F3" s="268" t="s">
        <v>59</v>
      </c>
    </row>
    <row r="4" spans="1:6" x14ac:dyDescent="0.35">
      <c r="A4" s="366" t="s">
        <v>52</v>
      </c>
      <c r="B4" s="367">
        <v>1</v>
      </c>
      <c r="C4" s="323" t="s">
        <v>580</v>
      </c>
      <c r="D4" s="6">
        <v>1</v>
      </c>
      <c r="E4" s="246" t="s">
        <v>127</v>
      </c>
      <c r="F4" s="181"/>
    </row>
    <row r="5" spans="1:6" x14ac:dyDescent="0.35">
      <c r="A5" s="366"/>
      <c r="B5" s="367"/>
      <c r="C5" s="324"/>
      <c r="D5" s="7">
        <v>2</v>
      </c>
      <c r="E5" s="247" t="s">
        <v>128</v>
      </c>
      <c r="F5" s="108"/>
    </row>
    <row r="6" spans="1:6" x14ac:dyDescent="0.35">
      <c r="A6" s="182" t="s">
        <v>129</v>
      </c>
      <c r="B6" s="183">
        <v>6</v>
      </c>
      <c r="C6" s="184" t="s">
        <v>131</v>
      </c>
      <c r="D6" s="6">
        <v>1</v>
      </c>
      <c r="E6" s="246" t="s">
        <v>132</v>
      </c>
      <c r="F6" s="63"/>
    </row>
    <row r="7" spans="1:6" ht="26" x14ac:dyDescent="0.35">
      <c r="A7" s="185"/>
      <c r="B7" s="186"/>
      <c r="C7" s="187"/>
      <c r="D7" s="10">
        <f>D6+1</f>
        <v>2</v>
      </c>
      <c r="E7" s="243" t="s">
        <v>133</v>
      </c>
      <c r="F7" s="64"/>
    </row>
    <row r="8" spans="1:6" x14ac:dyDescent="0.35">
      <c r="A8" s="107"/>
      <c r="B8" s="186"/>
      <c r="C8" s="252"/>
      <c r="D8" s="10">
        <f>D7+1</f>
        <v>3</v>
      </c>
      <c r="E8" s="243" t="s">
        <v>134</v>
      </c>
      <c r="F8" s="64"/>
    </row>
    <row r="9" spans="1:6" x14ac:dyDescent="0.35">
      <c r="A9" s="107"/>
      <c r="B9" s="186"/>
      <c r="C9" s="252"/>
      <c r="D9" s="10">
        <f>D8+1</f>
        <v>4</v>
      </c>
      <c r="E9" s="243" t="s">
        <v>135</v>
      </c>
      <c r="F9" s="64"/>
    </row>
    <row r="10" spans="1:6" x14ac:dyDescent="0.35">
      <c r="A10" s="107"/>
      <c r="B10" s="186"/>
      <c r="C10" s="252"/>
      <c r="D10" s="10">
        <f>D9+1</f>
        <v>5</v>
      </c>
      <c r="E10" s="243" t="s">
        <v>136</v>
      </c>
      <c r="F10" s="64"/>
    </row>
    <row r="11" spans="1:6" x14ac:dyDescent="0.35">
      <c r="A11" s="107"/>
      <c r="B11" s="188"/>
      <c r="C11" s="252"/>
      <c r="D11" s="10">
        <f>D10+1</f>
        <v>6</v>
      </c>
      <c r="E11" s="243" t="s">
        <v>137</v>
      </c>
      <c r="F11" s="64"/>
    </row>
    <row r="12" spans="1:6" x14ac:dyDescent="0.35">
      <c r="A12" s="107"/>
      <c r="B12" s="188"/>
      <c r="C12" s="252"/>
      <c r="D12" s="10">
        <v>-88</v>
      </c>
      <c r="E12" s="243" t="s">
        <v>7</v>
      </c>
      <c r="F12" s="64"/>
    </row>
    <row r="13" spans="1:6" x14ac:dyDescent="0.35">
      <c r="A13" s="108"/>
      <c r="B13" s="189"/>
      <c r="C13" s="249"/>
      <c r="D13" s="7">
        <v>-99</v>
      </c>
      <c r="E13" s="247" t="s">
        <v>20</v>
      </c>
      <c r="F13" s="64"/>
    </row>
  </sheetData>
  <mergeCells count="6">
    <mergeCell ref="A1:F1"/>
    <mergeCell ref="A3:B3"/>
    <mergeCell ref="D3:E3"/>
    <mergeCell ref="A4:A5"/>
    <mergeCell ref="B4:B5"/>
    <mergeCell ref="C4:C5"/>
  </mergeCells>
  <pageMargins left="0.7" right="0.7" top="0.75" bottom="0.75" header="0.3" footer="0.3"/>
  <pageSetup orientation="portrait" r:id="rId1"/>
  <headerFooter>
    <oddHeader xml:space="preserve">&amp;CB. Basic Info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showWhiteSpace="0" view="pageLayout" zoomScaleNormal="100" workbookViewId="0">
      <selection sqref="A1:G2"/>
    </sheetView>
  </sheetViews>
  <sheetFormatPr defaultColWidth="9.1796875" defaultRowHeight="13" x14ac:dyDescent="0.3"/>
  <cols>
    <col min="1" max="1" width="2.1796875" style="4" bestFit="1" customWidth="1"/>
    <col min="2" max="2" width="2.81640625" style="11" bestFit="1" customWidth="1"/>
    <col min="3" max="3" width="42.7265625" style="80" customWidth="1"/>
    <col min="4" max="4" width="3.54296875" style="80" customWidth="1"/>
    <col min="5" max="5" width="14.7265625" style="80" customWidth="1"/>
    <col min="6" max="6" width="9.54296875" style="80" customWidth="1"/>
    <col min="7" max="7" width="11" style="80" customWidth="1"/>
    <col min="8" max="16384" width="9.1796875" style="80"/>
  </cols>
  <sheetData>
    <row r="1" spans="1:7" ht="12.75" customHeight="1" x14ac:dyDescent="0.3">
      <c r="A1" s="388" t="s">
        <v>567</v>
      </c>
      <c r="B1" s="389"/>
      <c r="C1" s="389"/>
      <c r="D1" s="389"/>
      <c r="E1" s="389"/>
      <c r="F1" s="389"/>
      <c r="G1" s="389"/>
    </row>
    <row r="2" spans="1:7" ht="146.25" customHeight="1" x14ac:dyDescent="0.3">
      <c r="A2" s="390"/>
      <c r="B2" s="391"/>
      <c r="C2" s="391"/>
      <c r="D2" s="391"/>
      <c r="E2" s="391"/>
      <c r="F2" s="391"/>
      <c r="G2" s="391"/>
    </row>
    <row r="3" spans="1:7" ht="45" customHeight="1" x14ac:dyDescent="0.3">
      <c r="A3" s="394" t="s">
        <v>572</v>
      </c>
      <c r="B3" s="395"/>
      <c r="C3" s="395"/>
      <c r="D3" s="395"/>
      <c r="E3" s="395"/>
      <c r="F3" s="395"/>
      <c r="G3" s="395"/>
    </row>
    <row r="4" spans="1:7" x14ac:dyDescent="0.3">
      <c r="A4" s="190"/>
      <c r="B4" s="190"/>
      <c r="C4" s="62"/>
      <c r="D4" s="190"/>
      <c r="E4" s="190"/>
      <c r="F4" s="190"/>
      <c r="G4" s="190"/>
    </row>
    <row r="5" spans="1:7" x14ac:dyDescent="0.3">
      <c r="A5" s="392" t="s">
        <v>581</v>
      </c>
      <c r="B5" s="389"/>
      <c r="C5" s="389"/>
      <c r="D5" s="389"/>
      <c r="E5" s="389"/>
      <c r="F5" s="389"/>
      <c r="G5" s="389"/>
    </row>
    <row r="6" spans="1:7" ht="33.75" customHeight="1" x14ac:dyDescent="0.3">
      <c r="A6" s="390"/>
      <c r="B6" s="391"/>
      <c r="C6" s="391"/>
      <c r="D6" s="391"/>
      <c r="E6" s="391"/>
      <c r="F6" s="391"/>
      <c r="G6" s="391"/>
    </row>
    <row r="7" spans="1:7" ht="30" customHeight="1" x14ac:dyDescent="0.3">
      <c r="A7" s="386" t="s">
        <v>0</v>
      </c>
      <c r="B7" s="393"/>
      <c r="C7" s="386" t="s">
        <v>262</v>
      </c>
      <c r="D7" s="387"/>
      <c r="E7" s="387"/>
      <c r="F7" s="387"/>
      <c r="G7" s="387"/>
    </row>
    <row r="8" spans="1:7" ht="59.25" customHeight="1" x14ac:dyDescent="0.3">
      <c r="A8" s="144"/>
      <c r="B8" s="62"/>
      <c r="C8" s="191" t="s">
        <v>562</v>
      </c>
      <c r="D8" s="245"/>
      <c r="E8" s="192"/>
      <c r="F8" s="396" t="s">
        <v>282</v>
      </c>
      <c r="G8" s="396"/>
    </row>
    <row r="9" spans="1:7" ht="15" customHeight="1" x14ac:dyDescent="0.3">
      <c r="A9" s="144" t="s">
        <v>218</v>
      </c>
      <c r="B9" s="51">
        <v>1</v>
      </c>
      <c r="C9" s="378" t="s">
        <v>582</v>
      </c>
      <c r="D9" s="1">
        <v>1</v>
      </c>
      <c r="E9" s="2" t="s">
        <v>4</v>
      </c>
      <c r="F9" s="193" t="s">
        <v>49</v>
      </c>
      <c r="G9" s="194" t="s">
        <v>50</v>
      </c>
    </row>
    <row r="10" spans="1:7" x14ac:dyDescent="0.3">
      <c r="A10" s="136"/>
      <c r="B10" s="56"/>
      <c r="C10" s="379"/>
      <c r="D10" s="3">
        <v>2</v>
      </c>
      <c r="E10" s="4" t="s">
        <v>5</v>
      </c>
      <c r="F10" s="103"/>
      <c r="G10" s="160"/>
    </row>
    <row r="11" spans="1:7" x14ac:dyDescent="0.3">
      <c r="A11" s="136"/>
      <c r="B11" s="56"/>
      <c r="C11" s="379"/>
      <c r="D11" s="103">
        <v>-88</v>
      </c>
      <c r="E11" s="80" t="s">
        <v>7</v>
      </c>
      <c r="F11" s="103"/>
      <c r="G11" s="160"/>
    </row>
    <row r="12" spans="1:7" x14ac:dyDescent="0.3">
      <c r="A12" s="137"/>
      <c r="B12" s="58"/>
      <c r="C12" s="379"/>
      <c r="D12" s="103">
        <v>-99</v>
      </c>
      <c r="E12" s="80" t="s">
        <v>6</v>
      </c>
      <c r="F12" s="103"/>
      <c r="G12" s="160"/>
    </row>
    <row r="13" spans="1:7" ht="15" customHeight="1" x14ac:dyDescent="0.3">
      <c r="A13" s="136" t="s">
        <v>218</v>
      </c>
      <c r="B13" s="56">
        <f>B9+1</f>
        <v>2</v>
      </c>
      <c r="C13" s="378" t="s">
        <v>583</v>
      </c>
      <c r="D13" s="1">
        <v>1</v>
      </c>
      <c r="E13" s="2" t="s">
        <v>4</v>
      </c>
      <c r="F13" s="52" t="s">
        <v>49</v>
      </c>
      <c r="G13" s="194" t="s">
        <v>50</v>
      </c>
    </row>
    <row r="14" spans="1:7" x14ac:dyDescent="0.3">
      <c r="A14" s="136"/>
      <c r="B14" s="56"/>
      <c r="C14" s="379"/>
      <c r="D14" s="3">
        <v>2</v>
      </c>
      <c r="E14" s="4" t="s">
        <v>5</v>
      </c>
      <c r="F14" s="103"/>
      <c r="G14" s="160"/>
    </row>
    <row r="15" spans="1:7" x14ac:dyDescent="0.3">
      <c r="A15" s="136"/>
      <c r="B15" s="56"/>
      <c r="C15" s="379"/>
      <c r="D15" s="103">
        <v>-88</v>
      </c>
      <c r="E15" s="80" t="s">
        <v>7</v>
      </c>
      <c r="F15" s="103"/>
      <c r="G15" s="160"/>
    </row>
    <row r="16" spans="1:7" x14ac:dyDescent="0.3">
      <c r="A16" s="136"/>
      <c r="B16" s="56"/>
      <c r="C16" s="379"/>
      <c r="D16" s="103">
        <v>-99</v>
      </c>
      <c r="E16" s="80" t="s">
        <v>6</v>
      </c>
      <c r="F16" s="103"/>
      <c r="G16" s="160"/>
    </row>
    <row r="17" spans="1:7" ht="15" customHeight="1" x14ac:dyDescent="0.3">
      <c r="A17" s="144" t="s">
        <v>218</v>
      </c>
      <c r="B17" s="51">
        <f>B13+1</f>
        <v>3</v>
      </c>
      <c r="C17" s="378" t="s">
        <v>584</v>
      </c>
      <c r="D17" s="1">
        <v>1</v>
      </c>
      <c r="E17" s="2" t="s">
        <v>4</v>
      </c>
      <c r="F17" s="52" t="s">
        <v>49</v>
      </c>
      <c r="G17" s="194" t="s">
        <v>50</v>
      </c>
    </row>
    <row r="18" spans="1:7" x14ac:dyDescent="0.3">
      <c r="A18" s="136"/>
      <c r="B18" s="56"/>
      <c r="C18" s="379"/>
      <c r="D18" s="3">
        <v>2</v>
      </c>
      <c r="E18" s="4" t="s">
        <v>5</v>
      </c>
      <c r="F18" s="103"/>
      <c r="G18" s="160"/>
    </row>
    <row r="19" spans="1:7" x14ac:dyDescent="0.3">
      <c r="A19" s="136"/>
      <c r="B19" s="56"/>
      <c r="C19" s="379"/>
      <c r="D19" s="103">
        <v>-88</v>
      </c>
      <c r="E19" s="80" t="s">
        <v>7</v>
      </c>
      <c r="F19" s="103"/>
      <c r="G19" s="160"/>
    </row>
    <row r="20" spans="1:7" x14ac:dyDescent="0.3">
      <c r="A20" s="137"/>
      <c r="B20" s="58"/>
      <c r="C20" s="379"/>
      <c r="D20" s="103">
        <v>-99</v>
      </c>
      <c r="E20" s="80" t="s">
        <v>6</v>
      </c>
      <c r="F20" s="103"/>
      <c r="G20" s="160"/>
    </row>
    <row r="21" spans="1:7" x14ac:dyDescent="0.3">
      <c r="A21" s="136" t="s">
        <v>218</v>
      </c>
      <c r="B21" s="56">
        <f>B17+1</f>
        <v>4</v>
      </c>
      <c r="C21" s="378" t="s">
        <v>585</v>
      </c>
      <c r="D21" s="1">
        <v>1</v>
      </c>
      <c r="E21" s="2" t="s">
        <v>4</v>
      </c>
      <c r="F21" s="52" t="s">
        <v>49</v>
      </c>
      <c r="G21" s="194" t="s">
        <v>50</v>
      </c>
    </row>
    <row r="22" spans="1:7" x14ac:dyDescent="0.3">
      <c r="A22" s="136"/>
      <c r="B22" s="56"/>
      <c r="C22" s="379"/>
      <c r="D22" s="3">
        <v>2</v>
      </c>
      <c r="E22" s="4" t="s">
        <v>5</v>
      </c>
      <c r="F22" s="103"/>
      <c r="G22" s="160"/>
    </row>
    <row r="23" spans="1:7" x14ac:dyDescent="0.3">
      <c r="A23" s="136"/>
      <c r="B23" s="56"/>
      <c r="C23" s="379"/>
      <c r="D23" s="103">
        <v>-88</v>
      </c>
      <c r="E23" s="80" t="s">
        <v>7</v>
      </c>
      <c r="F23" s="103"/>
      <c r="G23" s="160"/>
    </row>
    <row r="24" spans="1:7" x14ac:dyDescent="0.3">
      <c r="A24" s="136"/>
      <c r="B24" s="56"/>
      <c r="C24" s="381"/>
      <c r="D24" s="103">
        <v>-99</v>
      </c>
      <c r="E24" s="80" t="s">
        <v>6</v>
      </c>
      <c r="F24" s="103"/>
      <c r="G24" s="160"/>
    </row>
    <row r="25" spans="1:7" x14ac:dyDescent="0.3">
      <c r="A25" s="144" t="s">
        <v>218</v>
      </c>
      <c r="B25" s="51">
        <f>B21+1</f>
        <v>5</v>
      </c>
      <c r="C25" s="378" t="s">
        <v>586</v>
      </c>
      <c r="D25" s="1">
        <v>1</v>
      </c>
      <c r="E25" s="2" t="s">
        <v>4</v>
      </c>
      <c r="F25" s="52" t="s">
        <v>49</v>
      </c>
      <c r="G25" s="194" t="s">
        <v>50</v>
      </c>
    </row>
    <row r="26" spans="1:7" x14ac:dyDescent="0.3">
      <c r="A26" s="136"/>
      <c r="B26" s="56"/>
      <c r="C26" s="379"/>
      <c r="D26" s="3">
        <v>2</v>
      </c>
      <c r="E26" s="4" t="s">
        <v>5</v>
      </c>
      <c r="F26" s="103"/>
      <c r="G26" s="160"/>
    </row>
    <row r="27" spans="1:7" x14ac:dyDescent="0.3">
      <c r="A27" s="136"/>
      <c r="B27" s="56"/>
      <c r="C27" s="379"/>
      <c r="D27" s="103">
        <v>-88</v>
      </c>
      <c r="E27" s="80" t="s">
        <v>7</v>
      </c>
      <c r="F27" s="103"/>
      <c r="G27" s="160"/>
    </row>
    <row r="28" spans="1:7" x14ac:dyDescent="0.3">
      <c r="A28" s="137"/>
      <c r="B28" s="58"/>
      <c r="C28" s="381"/>
      <c r="D28" s="103">
        <v>-99</v>
      </c>
      <c r="E28" s="80" t="s">
        <v>6</v>
      </c>
      <c r="F28" s="103"/>
      <c r="G28" s="160"/>
    </row>
    <row r="29" spans="1:7" x14ac:dyDescent="0.3">
      <c r="A29" s="136" t="s">
        <v>218</v>
      </c>
      <c r="B29" s="56">
        <f>B25+1</f>
        <v>6</v>
      </c>
      <c r="C29" s="384" t="s">
        <v>587</v>
      </c>
      <c r="D29" s="1">
        <v>1</v>
      </c>
      <c r="E29" s="2" t="s">
        <v>4</v>
      </c>
      <c r="F29" s="52" t="s">
        <v>49</v>
      </c>
      <c r="G29" s="194" t="s">
        <v>50</v>
      </c>
    </row>
    <row r="30" spans="1:7" x14ac:dyDescent="0.3">
      <c r="A30" s="136"/>
      <c r="B30" s="56"/>
      <c r="C30" s="384"/>
      <c r="D30" s="3">
        <v>2</v>
      </c>
      <c r="E30" s="4" t="s">
        <v>5</v>
      </c>
      <c r="F30" s="103"/>
      <c r="G30" s="160"/>
    </row>
    <row r="31" spans="1:7" x14ac:dyDescent="0.3">
      <c r="A31" s="136"/>
      <c r="B31" s="56"/>
      <c r="C31" s="384"/>
      <c r="D31" s="103">
        <v>-88</v>
      </c>
      <c r="E31" s="80" t="s">
        <v>7</v>
      </c>
      <c r="F31" s="103"/>
      <c r="G31" s="160"/>
    </row>
    <row r="32" spans="1:7" x14ac:dyDescent="0.3">
      <c r="A32" s="137"/>
      <c r="B32" s="58"/>
      <c r="C32" s="385"/>
      <c r="D32" s="161">
        <v>-99</v>
      </c>
      <c r="E32" s="79" t="s">
        <v>6</v>
      </c>
      <c r="F32" s="161"/>
      <c r="G32" s="162"/>
    </row>
    <row r="33" spans="1:7" x14ac:dyDescent="0.3">
      <c r="A33" s="144" t="s">
        <v>218</v>
      </c>
      <c r="B33" s="51">
        <f>B29+1</f>
        <v>7</v>
      </c>
      <c r="C33" s="378" t="s">
        <v>588</v>
      </c>
      <c r="D33" s="1">
        <v>1</v>
      </c>
      <c r="E33" s="2" t="s">
        <v>4</v>
      </c>
      <c r="F33" s="52" t="s">
        <v>49</v>
      </c>
      <c r="G33" s="194" t="s">
        <v>50</v>
      </c>
    </row>
    <row r="34" spans="1:7" x14ac:dyDescent="0.3">
      <c r="A34" s="136"/>
      <c r="B34" s="56"/>
      <c r="C34" s="379"/>
      <c r="D34" s="3">
        <v>2</v>
      </c>
      <c r="E34" s="4" t="s">
        <v>5</v>
      </c>
      <c r="F34" s="103"/>
      <c r="G34" s="160"/>
    </row>
    <row r="35" spans="1:7" x14ac:dyDescent="0.3">
      <c r="A35" s="136"/>
      <c r="B35" s="56"/>
      <c r="C35" s="379"/>
      <c r="D35" s="103">
        <v>-88</v>
      </c>
      <c r="E35" s="80" t="s">
        <v>7</v>
      </c>
      <c r="F35" s="103"/>
      <c r="G35" s="160"/>
    </row>
    <row r="36" spans="1:7" x14ac:dyDescent="0.3">
      <c r="A36" s="136"/>
      <c r="B36" s="56"/>
      <c r="C36" s="379"/>
      <c r="D36" s="103">
        <v>-99</v>
      </c>
      <c r="E36" s="80" t="s">
        <v>6</v>
      </c>
      <c r="F36" s="103"/>
      <c r="G36" s="160"/>
    </row>
    <row r="37" spans="1:7" ht="15" customHeight="1" x14ac:dyDescent="0.3">
      <c r="A37" s="144" t="s">
        <v>218</v>
      </c>
      <c r="B37" s="51">
        <f>B33+1</f>
        <v>8</v>
      </c>
      <c r="C37" s="378" t="s">
        <v>589</v>
      </c>
      <c r="D37" s="1">
        <v>1</v>
      </c>
      <c r="E37" s="2" t="s">
        <v>4</v>
      </c>
      <c r="F37" s="52" t="s">
        <v>49</v>
      </c>
      <c r="G37" s="194" t="s">
        <v>50</v>
      </c>
    </row>
    <row r="38" spans="1:7" x14ac:dyDescent="0.3">
      <c r="A38" s="136"/>
      <c r="B38" s="56"/>
      <c r="C38" s="379"/>
      <c r="D38" s="3">
        <v>2</v>
      </c>
      <c r="E38" s="4" t="s">
        <v>5</v>
      </c>
      <c r="F38" s="103"/>
      <c r="G38" s="160"/>
    </row>
    <row r="39" spans="1:7" x14ac:dyDescent="0.3">
      <c r="A39" s="136"/>
      <c r="B39" s="56"/>
      <c r="C39" s="379"/>
      <c r="D39" s="103">
        <v>-88</v>
      </c>
      <c r="E39" s="80" t="s">
        <v>7</v>
      </c>
      <c r="F39" s="103"/>
      <c r="G39" s="160"/>
    </row>
    <row r="40" spans="1:7" x14ac:dyDescent="0.3">
      <c r="A40" s="137"/>
      <c r="B40" s="58"/>
      <c r="C40" s="381"/>
      <c r="D40" s="161">
        <v>-99</v>
      </c>
      <c r="E40" s="79" t="s">
        <v>6</v>
      </c>
      <c r="F40" s="161"/>
      <c r="G40" s="162"/>
    </row>
    <row r="41" spans="1:7" ht="15" customHeight="1" x14ac:dyDescent="0.3">
      <c r="A41" s="136" t="s">
        <v>218</v>
      </c>
      <c r="B41" s="56">
        <f>B37+1</f>
        <v>9</v>
      </c>
      <c r="C41" s="382" t="s">
        <v>590</v>
      </c>
      <c r="D41" s="3">
        <v>1</v>
      </c>
      <c r="E41" s="4" t="s">
        <v>4</v>
      </c>
      <c r="F41" s="195" t="s">
        <v>49</v>
      </c>
      <c r="G41" s="196" t="s">
        <v>50</v>
      </c>
    </row>
    <row r="42" spans="1:7" x14ac:dyDescent="0.3">
      <c r="A42" s="136"/>
      <c r="B42" s="56"/>
      <c r="C42" s="382"/>
      <c r="D42" s="3">
        <v>2</v>
      </c>
      <c r="E42" s="4" t="s">
        <v>5</v>
      </c>
      <c r="F42" s="103"/>
      <c r="G42" s="160"/>
    </row>
    <row r="43" spans="1:7" x14ac:dyDescent="0.3">
      <c r="A43" s="136"/>
      <c r="B43" s="56"/>
      <c r="C43" s="382"/>
      <c r="D43" s="103">
        <v>-88</v>
      </c>
      <c r="E43" s="80" t="s">
        <v>7</v>
      </c>
      <c r="F43" s="103"/>
      <c r="G43" s="160"/>
    </row>
    <row r="44" spans="1:7" x14ac:dyDescent="0.3">
      <c r="A44" s="137"/>
      <c r="B44" s="58"/>
      <c r="C44" s="383"/>
      <c r="D44" s="161">
        <v>-99</v>
      </c>
      <c r="E44" s="79" t="s">
        <v>6</v>
      </c>
      <c r="F44" s="161"/>
      <c r="G44" s="162"/>
    </row>
    <row r="45" spans="1:7" ht="15" customHeight="1" x14ac:dyDescent="0.3">
      <c r="A45" s="144" t="s">
        <v>218</v>
      </c>
      <c r="B45" s="51">
        <f>B41+1</f>
        <v>10</v>
      </c>
      <c r="C45" s="378" t="s">
        <v>591</v>
      </c>
      <c r="D45" s="1">
        <v>1</v>
      </c>
      <c r="E45" s="2" t="s">
        <v>4</v>
      </c>
      <c r="F45" s="52" t="s">
        <v>49</v>
      </c>
      <c r="G45" s="194" t="s">
        <v>50</v>
      </c>
    </row>
    <row r="46" spans="1:7" x14ac:dyDescent="0.3">
      <c r="A46" s="136"/>
      <c r="B46" s="56"/>
      <c r="C46" s="379"/>
      <c r="D46" s="3">
        <v>2</v>
      </c>
      <c r="E46" s="4" t="s">
        <v>5</v>
      </c>
      <c r="F46" s="103"/>
      <c r="G46" s="160"/>
    </row>
    <row r="47" spans="1:7" x14ac:dyDescent="0.3">
      <c r="A47" s="136"/>
      <c r="B47" s="56"/>
      <c r="C47" s="379"/>
      <c r="D47" s="103">
        <v>-88</v>
      </c>
      <c r="E47" s="80" t="s">
        <v>7</v>
      </c>
      <c r="F47" s="103"/>
      <c r="G47" s="160"/>
    </row>
    <row r="48" spans="1:7" ht="26.25" customHeight="1" x14ac:dyDescent="0.3">
      <c r="A48" s="136"/>
      <c r="B48" s="56"/>
      <c r="C48" s="379"/>
      <c r="D48" s="138">
        <v>-99</v>
      </c>
      <c r="E48" s="11" t="s">
        <v>6</v>
      </c>
      <c r="F48" s="103"/>
      <c r="G48" s="160"/>
    </row>
    <row r="49" spans="1:7" ht="15" customHeight="1" x14ac:dyDescent="0.3">
      <c r="A49" s="144" t="s">
        <v>218</v>
      </c>
      <c r="B49" s="51">
        <f>B45+1</f>
        <v>11</v>
      </c>
      <c r="C49" s="380" t="s">
        <v>592</v>
      </c>
      <c r="D49" s="1">
        <v>1</v>
      </c>
      <c r="E49" s="2" t="s">
        <v>4</v>
      </c>
      <c r="F49" s="52" t="s">
        <v>49</v>
      </c>
      <c r="G49" s="194" t="s">
        <v>50</v>
      </c>
    </row>
    <row r="50" spans="1:7" x14ac:dyDescent="0.3">
      <c r="A50" s="136"/>
      <c r="B50" s="56"/>
      <c r="C50" s="379"/>
      <c r="D50" s="3">
        <v>2</v>
      </c>
      <c r="E50" s="4" t="s">
        <v>5</v>
      </c>
      <c r="F50" s="103"/>
      <c r="G50" s="160"/>
    </row>
    <row r="51" spans="1:7" x14ac:dyDescent="0.3">
      <c r="A51" s="136"/>
      <c r="B51" s="56"/>
      <c r="C51" s="379"/>
      <c r="D51" s="103">
        <v>-88</v>
      </c>
      <c r="E51" s="80" t="s">
        <v>7</v>
      </c>
      <c r="F51" s="103"/>
      <c r="G51" s="160"/>
    </row>
    <row r="52" spans="1:7" x14ac:dyDescent="0.3">
      <c r="A52" s="137"/>
      <c r="B52" s="58"/>
      <c r="C52" s="381"/>
      <c r="D52" s="161">
        <v>-99</v>
      </c>
      <c r="E52" s="79" t="s">
        <v>6</v>
      </c>
      <c r="F52" s="161"/>
      <c r="G52" s="162"/>
    </row>
    <row r="53" spans="1:7" x14ac:dyDescent="0.3">
      <c r="A53" s="144" t="s">
        <v>218</v>
      </c>
      <c r="B53" s="51">
        <f>B49+1</f>
        <v>12</v>
      </c>
      <c r="C53" s="380" t="s">
        <v>535</v>
      </c>
      <c r="D53" s="1">
        <v>1</v>
      </c>
      <c r="E53" s="2" t="s">
        <v>4</v>
      </c>
      <c r="F53" s="52" t="s">
        <v>49</v>
      </c>
      <c r="G53" s="194" t="s">
        <v>50</v>
      </c>
    </row>
    <row r="54" spans="1:7" x14ac:dyDescent="0.3">
      <c r="A54" s="136"/>
      <c r="B54" s="56"/>
      <c r="C54" s="379"/>
      <c r="D54" s="3">
        <v>2</v>
      </c>
      <c r="E54" s="4" t="s">
        <v>5</v>
      </c>
      <c r="F54" s="103"/>
      <c r="G54" s="160"/>
    </row>
    <row r="55" spans="1:7" x14ac:dyDescent="0.3">
      <c r="A55" s="136"/>
      <c r="B55" s="56"/>
      <c r="C55" s="379"/>
      <c r="D55" s="103">
        <v>-88</v>
      </c>
      <c r="E55" s="80" t="s">
        <v>7</v>
      </c>
      <c r="F55" s="103"/>
      <c r="G55" s="160"/>
    </row>
    <row r="56" spans="1:7" x14ac:dyDescent="0.3">
      <c r="A56" s="137"/>
      <c r="B56" s="58"/>
      <c r="C56" s="381"/>
      <c r="D56" s="161">
        <v>-99</v>
      </c>
      <c r="E56" s="79" t="s">
        <v>6</v>
      </c>
      <c r="F56" s="161"/>
      <c r="G56" s="162"/>
    </row>
    <row r="57" spans="1:7" ht="9" customHeight="1" x14ac:dyDescent="0.3"/>
    <row r="58" spans="1:7" ht="57" customHeight="1" x14ac:dyDescent="0.3">
      <c r="A58" s="401" t="s">
        <v>593</v>
      </c>
      <c r="B58" s="401"/>
      <c r="C58" s="401"/>
      <c r="D58" s="401"/>
      <c r="E58" s="401"/>
      <c r="F58" s="401"/>
      <c r="G58" s="401"/>
    </row>
    <row r="59" spans="1:7" ht="27.75" customHeight="1" x14ac:dyDescent="0.3">
      <c r="A59" s="401" t="s">
        <v>303</v>
      </c>
      <c r="B59" s="401"/>
      <c r="C59" s="401"/>
      <c r="D59" s="401"/>
      <c r="E59" s="401"/>
      <c r="F59" s="401"/>
      <c r="G59" s="401"/>
    </row>
    <row r="60" spans="1:7" ht="10.5" customHeight="1" x14ac:dyDescent="0.3"/>
    <row r="61" spans="1:7" x14ac:dyDescent="0.3">
      <c r="A61" s="397" t="s">
        <v>0</v>
      </c>
      <c r="B61" s="398"/>
      <c r="C61" s="113" t="s">
        <v>1</v>
      </c>
      <c r="D61" s="397" t="s">
        <v>2</v>
      </c>
      <c r="E61" s="399"/>
      <c r="F61" s="400"/>
      <c r="G61" s="400"/>
    </row>
    <row r="62" spans="1:7" ht="39.75" customHeight="1" x14ac:dyDescent="0.3">
      <c r="A62" s="197"/>
      <c r="B62" s="198"/>
      <c r="C62" s="199" t="s">
        <v>563</v>
      </c>
      <c r="D62" s="200"/>
      <c r="E62" s="201"/>
      <c r="F62" s="376" t="s">
        <v>265</v>
      </c>
      <c r="G62" s="377"/>
    </row>
    <row r="63" spans="1:7" x14ac:dyDescent="0.3">
      <c r="A63" s="144" t="s">
        <v>218</v>
      </c>
      <c r="B63" s="246">
        <v>13</v>
      </c>
      <c r="C63" s="380" t="s">
        <v>319</v>
      </c>
      <c r="D63" s="1">
        <v>1</v>
      </c>
      <c r="E63" s="2" t="s">
        <v>4</v>
      </c>
      <c r="F63" s="368" t="s">
        <v>51</v>
      </c>
      <c r="G63" s="369"/>
    </row>
    <row r="64" spans="1:7" x14ac:dyDescent="0.3">
      <c r="A64" s="136"/>
      <c r="B64" s="243"/>
      <c r="C64" s="382"/>
      <c r="D64" s="3">
        <v>2</v>
      </c>
      <c r="E64" s="4" t="s">
        <v>5</v>
      </c>
      <c r="F64" s="370"/>
      <c r="G64" s="371"/>
    </row>
    <row r="65" spans="1:7" x14ac:dyDescent="0.3">
      <c r="A65" s="136"/>
      <c r="B65" s="243"/>
      <c r="C65" s="382"/>
      <c r="D65" s="103">
        <v>-88</v>
      </c>
      <c r="E65" s="80" t="s">
        <v>7</v>
      </c>
      <c r="F65" s="370"/>
      <c r="G65" s="371"/>
    </row>
    <row r="66" spans="1:7" x14ac:dyDescent="0.3">
      <c r="A66" s="136"/>
      <c r="B66" s="243"/>
      <c r="C66" s="382"/>
      <c r="D66" s="103">
        <v>-99</v>
      </c>
      <c r="E66" s="80" t="s">
        <v>6</v>
      </c>
      <c r="F66" s="370"/>
      <c r="G66" s="371"/>
    </row>
    <row r="67" spans="1:7" x14ac:dyDescent="0.3">
      <c r="A67" s="144" t="s">
        <v>218</v>
      </c>
      <c r="B67" s="246">
        <v>14</v>
      </c>
      <c r="C67" s="380" t="s">
        <v>266</v>
      </c>
      <c r="D67" s="1">
        <v>1</v>
      </c>
      <c r="E67" s="2" t="s">
        <v>4</v>
      </c>
      <c r="F67" s="368" t="s">
        <v>51</v>
      </c>
      <c r="G67" s="369"/>
    </row>
    <row r="68" spans="1:7" x14ac:dyDescent="0.3">
      <c r="A68" s="136"/>
      <c r="B68" s="243"/>
      <c r="C68" s="382"/>
      <c r="D68" s="3">
        <v>2</v>
      </c>
      <c r="E68" s="4" t="s">
        <v>5</v>
      </c>
      <c r="F68" s="370"/>
      <c r="G68" s="371"/>
    </row>
    <row r="69" spans="1:7" x14ac:dyDescent="0.3">
      <c r="A69" s="136"/>
      <c r="B69" s="243"/>
      <c r="C69" s="382"/>
      <c r="D69" s="103">
        <v>-88</v>
      </c>
      <c r="E69" s="80" t="s">
        <v>7</v>
      </c>
      <c r="F69" s="370"/>
      <c r="G69" s="371"/>
    </row>
    <row r="70" spans="1:7" x14ac:dyDescent="0.3">
      <c r="A70" s="136"/>
      <c r="B70" s="243"/>
      <c r="C70" s="382"/>
      <c r="D70" s="103">
        <v>-99</v>
      </c>
      <c r="E70" s="80" t="s">
        <v>6</v>
      </c>
      <c r="F70" s="370"/>
      <c r="G70" s="371"/>
    </row>
    <row r="71" spans="1:7" x14ac:dyDescent="0.3">
      <c r="A71" s="144" t="s">
        <v>218</v>
      </c>
      <c r="B71" s="246">
        <v>15</v>
      </c>
      <c r="C71" s="380" t="s">
        <v>320</v>
      </c>
      <c r="D71" s="1">
        <v>1</v>
      </c>
      <c r="E71" s="2" t="s">
        <v>4</v>
      </c>
      <c r="F71" s="368" t="s">
        <v>51</v>
      </c>
      <c r="G71" s="369"/>
    </row>
    <row r="72" spans="1:7" x14ac:dyDescent="0.3">
      <c r="A72" s="136"/>
      <c r="B72" s="243"/>
      <c r="C72" s="382"/>
      <c r="D72" s="3">
        <v>2</v>
      </c>
      <c r="E72" s="4" t="s">
        <v>5</v>
      </c>
      <c r="F72" s="370"/>
      <c r="G72" s="371"/>
    </row>
    <row r="73" spans="1:7" x14ac:dyDescent="0.3">
      <c r="A73" s="136"/>
      <c r="B73" s="243"/>
      <c r="C73" s="382"/>
      <c r="D73" s="103">
        <v>-88</v>
      </c>
      <c r="E73" s="80" t="s">
        <v>7</v>
      </c>
      <c r="F73" s="370"/>
      <c r="G73" s="371"/>
    </row>
    <row r="74" spans="1:7" x14ac:dyDescent="0.3">
      <c r="A74" s="136"/>
      <c r="B74" s="243"/>
      <c r="C74" s="382"/>
      <c r="D74" s="103">
        <v>-99</v>
      </c>
      <c r="E74" s="80" t="s">
        <v>6</v>
      </c>
      <c r="F74" s="370"/>
      <c r="G74" s="371"/>
    </row>
    <row r="75" spans="1:7" x14ac:dyDescent="0.3">
      <c r="A75" s="144" t="s">
        <v>218</v>
      </c>
      <c r="B75" s="246">
        <v>16</v>
      </c>
      <c r="C75" s="380" t="s">
        <v>450</v>
      </c>
      <c r="D75" s="1">
        <v>1</v>
      </c>
      <c r="E75" s="2" t="s">
        <v>4</v>
      </c>
      <c r="F75" s="368" t="s">
        <v>51</v>
      </c>
      <c r="G75" s="369"/>
    </row>
    <row r="76" spans="1:7" x14ac:dyDescent="0.3">
      <c r="A76" s="136"/>
      <c r="B76" s="243"/>
      <c r="C76" s="382"/>
      <c r="D76" s="3">
        <v>2</v>
      </c>
      <c r="E76" s="4" t="s">
        <v>5</v>
      </c>
      <c r="F76" s="370"/>
      <c r="G76" s="371"/>
    </row>
    <row r="77" spans="1:7" x14ac:dyDescent="0.3">
      <c r="A77" s="136"/>
      <c r="B77" s="243"/>
      <c r="C77" s="382"/>
      <c r="D77" s="103">
        <v>-88</v>
      </c>
      <c r="E77" s="80" t="s">
        <v>7</v>
      </c>
      <c r="F77" s="370"/>
      <c r="G77" s="371"/>
    </row>
    <row r="78" spans="1:7" x14ac:dyDescent="0.3">
      <c r="A78" s="136"/>
      <c r="B78" s="243"/>
      <c r="C78" s="382"/>
      <c r="D78" s="103">
        <v>-99</v>
      </c>
      <c r="E78" s="80" t="s">
        <v>6</v>
      </c>
      <c r="F78" s="370"/>
      <c r="G78" s="371"/>
    </row>
    <row r="79" spans="1:7" x14ac:dyDescent="0.3">
      <c r="A79" s="144" t="s">
        <v>218</v>
      </c>
      <c r="B79" s="246">
        <v>17</v>
      </c>
      <c r="C79" s="380" t="s">
        <v>311</v>
      </c>
      <c r="D79" s="1">
        <v>1</v>
      </c>
      <c r="E79" s="2" t="s">
        <v>4</v>
      </c>
      <c r="F79" s="368" t="s">
        <v>51</v>
      </c>
      <c r="G79" s="369"/>
    </row>
    <row r="80" spans="1:7" x14ac:dyDescent="0.3">
      <c r="A80" s="136"/>
      <c r="B80" s="243"/>
      <c r="C80" s="382"/>
      <c r="D80" s="3">
        <v>2</v>
      </c>
      <c r="E80" s="4" t="s">
        <v>5</v>
      </c>
      <c r="F80" s="370"/>
      <c r="G80" s="371"/>
    </row>
    <row r="81" spans="1:7" x14ac:dyDescent="0.3">
      <c r="A81" s="136"/>
      <c r="B81" s="243"/>
      <c r="C81" s="382"/>
      <c r="D81" s="103">
        <v>-88</v>
      </c>
      <c r="E81" s="80" t="s">
        <v>7</v>
      </c>
      <c r="F81" s="370"/>
      <c r="G81" s="371"/>
    </row>
    <row r="82" spans="1:7" x14ac:dyDescent="0.3">
      <c r="A82" s="136"/>
      <c r="B82" s="243"/>
      <c r="C82" s="382"/>
      <c r="D82" s="103">
        <v>-99</v>
      </c>
      <c r="E82" s="80" t="s">
        <v>6</v>
      </c>
      <c r="F82" s="370"/>
      <c r="G82" s="371"/>
    </row>
    <row r="83" spans="1:7" x14ac:dyDescent="0.3">
      <c r="A83" s="144" t="s">
        <v>218</v>
      </c>
      <c r="B83" s="246">
        <v>18</v>
      </c>
      <c r="C83" s="380" t="s">
        <v>267</v>
      </c>
      <c r="D83" s="1">
        <v>1</v>
      </c>
      <c r="E83" s="2" t="s">
        <v>4</v>
      </c>
      <c r="F83" s="368" t="s">
        <v>51</v>
      </c>
      <c r="G83" s="372"/>
    </row>
    <row r="84" spans="1:7" x14ac:dyDescent="0.3">
      <c r="A84" s="136"/>
      <c r="B84" s="243"/>
      <c r="C84" s="382"/>
      <c r="D84" s="3">
        <v>2</v>
      </c>
      <c r="E84" s="4" t="s">
        <v>5</v>
      </c>
      <c r="F84" s="370"/>
      <c r="G84" s="373"/>
    </row>
    <row r="85" spans="1:7" x14ac:dyDescent="0.3">
      <c r="A85" s="136"/>
      <c r="B85" s="243"/>
      <c r="C85" s="382"/>
      <c r="D85" s="103">
        <v>-88</v>
      </c>
      <c r="E85" s="80" t="s">
        <v>7</v>
      </c>
      <c r="F85" s="370"/>
      <c r="G85" s="373"/>
    </row>
    <row r="86" spans="1:7" x14ac:dyDescent="0.3">
      <c r="A86" s="137"/>
      <c r="B86" s="247"/>
      <c r="C86" s="383"/>
      <c r="D86" s="161">
        <v>-99</v>
      </c>
      <c r="E86" s="79" t="s">
        <v>6</v>
      </c>
      <c r="F86" s="374"/>
      <c r="G86" s="375"/>
    </row>
    <row r="87" spans="1:7" x14ac:dyDescent="0.3">
      <c r="A87" s="80"/>
      <c r="B87" s="80"/>
    </row>
    <row r="88" spans="1:7" x14ac:dyDescent="0.3">
      <c r="A88" s="80"/>
      <c r="B88" s="80"/>
    </row>
    <row r="89" spans="1:7" x14ac:dyDescent="0.3">
      <c r="D89" s="89"/>
    </row>
  </sheetData>
  <mergeCells count="36">
    <mergeCell ref="A61:B61"/>
    <mergeCell ref="D61:E61"/>
    <mergeCell ref="C53:C56"/>
    <mergeCell ref="F61:G61"/>
    <mergeCell ref="A58:G58"/>
    <mergeCell ref="A59:G59"/>
    <mergeCell ref="A1:G2"/>
    <mergeCell ref="A5:G6"/>
    <mergeCell ref="A7:B7"/>
    <mergeCell ref="A3:G3"/>
    <mergeCell ref="F8:G8"/>
    <mergeCell ref="C9:C12"/>
    <mergeCell ref="C7:G7"/>
    <mergeCell ref="C13:C16"/>
    <mergeCell ref="C17:C20"/>
    <mergeCell ref="C21:C24"/>
    <mergeCell ref="C25:C28"/>
    <mergeCell ref="C29:C32"/>
    <mergeCell ref="C33:C36"/>
    <mergeCell ref="C37:C40"/>
    <mergeCell ref="C41:C44"/>
    <mergeCell ref="C45:C48"/>
    <mergeCell ref="C49:C52"/>
    <mergeCell ref="C83:C86"/>
    <mergeCell ref="C63:C66"/>
    <mergeCell ref="C67:C70"/>
    <mergeCell ref="C71:C74"/>
    <mergeCell ref="C75:C78"/>
    <mergeCell ref="C79:C82"/>
    <mergeCell ref="F75:G78"/>
    <mergeCell ref="F79:G82"/>
    <mergeCell ref="F83:G86"/>
    <mergeCell ref="F63:G66"/>
    <mergeCell ref="F62:G62"/>
    <mergeCell ref="F67:G70"/>
    <mergeCell ref="F71:G74"/>
  </mergeCells>
  <pageMargins left="0.7" right="0.7" top="0.5" bottom="0.5" header="0.3" footer="0.3"/>
  <pageSetup scale="96" orientation="portrait" r:id="rId1"/>
  <headerFooter>
    <oddHeader xml:space="preserve">&amp;C&amp;"Times New Roman,Bold"&amp;13&amp;UC. Expenditure  (food) &amp;"-,Regular"&amp;11&amp;U
&amp;O
</oddHeader>
  </headerFooter>
  <rowBreaks count="1" manualBreakCount="1">
    <brk id="40"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7"/>
  <sheetViews>
    <sheetView view="pageLayout" topLeftCell="A125" zoomScaleNormal="100" workbookViewId="0">
      <selection activeCell="C160" sqref="C160:C161"/>
    </sheetView>
  </sheetViews>
  <sheetFormatPr defaultColWidth="9.1796875" defaultRowHeight="14.5" x14ac:dyDescent="0.35"/>
  <cols>
    <col min="1" max="1" width="2.54296875" style="220" bestFit="1" customWidth="1"/>
    <col min="2" max="2" width="3" style="221" bestFit="1" customWidth="1"/>
    <col min="3" max="3" width="42.7265625" style="172" customWidth="1"/>
    <col min="4" max="4" width="4.7265625" style="222" customWidth="1"/>
    <col min="5" max="5" width="10.81640625" style="172" customWidth="1"/>
    <col min="6" max="6" width="18.7265625" style="172" customWidth="1"/>
    <col min="7" max="7" width="3.54296875" style="172" customWidth="1"/>
    <col min="8" max="8" width="2.81640625" style="172" customWidth="1"/>
    <col min="9" max="9" width="13.54296875" style="172" hidden="1" customWidth="1"/>
    <col min="10" max="10" width="28.54296875" style="172" customWidth="1"/>
    <col min="11" max="11" width="36.1796875" style="172" bestFit="1" customWidth="1"/>
    <col min="12" max="12" width="18.26953125" style="172" customWidth="1"/>
    <col min="13" max="16384" width="9.1796875" style="172"/>
  </cols>
  <sheetData>
    <row r="1" spans="1:14" ht="57.75" customHeight="1" x14ac:dyDescent="0.35">
      <c r="A1" s="424" t="s">
        <v>553</v>
      </c>
      <c r="B1" s="425"/>
      <c r="C1" s="425"/>
      <c r="D1" s="425"/>
      <c r="E1" s="425"/>
      <c r="F1" s="425"/>
      <c r="G1" s="425"/>
      <c r="H1" s="425"/>
      <c r="J1" s="202"/>
      <c r="K1" s="202"/>
      <c r="L1" s="202"/>
      <c r="M1" s="202"/>
      <c r="N1" s="202"/>
    </row>
    <row r="2" spans="1:14" ht="42" customHeight="1" thickBot="1" x14ac:dyDescent="0.4">
      <c r="A2" s="386" t="s">
        <v>0</v>
      </c>
      <c r="B2" s="393"/>
      <c r="C2" s="286" t="s">
        <v>1</v>
      </c>
      <c r="D2" s="386" t="s">
        <v>2</v>
      </c>
      <c r="E2" s="387"/>
      <c r="F2" s="393"/>
      <c r="G2" s="426" t="s">
        <v>198</v>
      </c>
      <c r="H2" s="400"/>
      <c r="I2" s="172" t="s">
        <v>360</v>
      </c>
      <c r="J2" s="202"/>
      <c r="K2" s="202"/>
      <c r="L2" s="202"/>
      <c r="M2" s="202"/>
      <c r="N2" s="202"/>
    </row>
    <row r="3" spans="1:14" ht="45.75" customHeight="1" x14ac:dyDescent="0.35">
      <c r="A3" s="203"/>
      <c r="B3" s="204"/>
      <c r="C3" s="205" t="s">
        <v>502</v>
      </c>
      <c r="D3" s="427"/>
      <c r="E3" s="428"/>
      <c r="F3" s="206" t="s">
        <v>525</v>
      </c>
      <c r="H3" s="202"/>
      <c r="J3" s="202"/>
      <c r="K3" s="202"/>
      <c r="L3" s="202"/>
      <c r="M3" s="202"/>
      <c r="N3" s="202"/>
    </row>
    <row r="4" spans="1:14" x14ac:dyDescent="0.35">
      <c r="A4" s="156" t="s">
        <v>219</v>
      </c>
      <c r="B4" s="246">
        <v>1</v>
      </c>
      <c r="C4" s="323" t="s">
        <v>558</v>
      </c>
      <c r="D4" s="27">
        <v>1</v>
      </c>
      <c r="E4" s="8" t="s">
        <v>4</v>
      </c>
      <c r="F4" s="405" t="s">
        <v>110</v>
      </c>
      <c r="G4" s="207"/>
      <c r="H4" s="202"/>
      <c r="I4" s="172" t="s">
        <v>460</v>
      </c>
      <c r="J4" s="202"/>
      <c r="K4" s="202"/>
      <c r="L4" s="202"/>
      <c r="M4" s="202"/>
      <c r="N4" s="202"/>
    </row>
    <row r="5" spans="1:14" x14ac:dyDescent="0.35">
      <c r="A5" s="157"/>
      <c r="B5" s="243"/>
      <c r="C5" s="342"/>
      <c r="D5" s="47">
        <v>2</v>
      </c>
      <c r="E5" s="9" t="s">
        <v>5</v>
      </c>
      <c r="F5" s="406"/>
      <c r="G5" s="207"/>
      <c r="H5" s="202"/>
      <c r="I5" s="172" t="s">
        <v>461</v>
      </c>
      <c r="J5" s="202"/>
      <c r="K5" s="202"/>
      <c r="L5" s="202"/>
      <c r="M5" s="202"/>
      <c r="N5" s="202"/>
    </row>
    <row r="6" spans="1:14" ht="16.5" customHeight="1" x14ac:dyDescent="0.35">
      <c r="A6" s="157"/>
      <c r="B6" s="243"/>
      <c r="C6" s="342"/>
      <c r="D6" s="103">
        <v>-88</v>
      </c>
      <c r="E6" s="160" t="s">
        <v>7</v>
      </c>
      <c r="F6" s="406"/>
      <c r="G6" s="207"/>
      <c r="H6" s="202"/>
      <c r="J6" s="202"/>
      <c r="K6" s="202"/>
      <c r="L6" s="202"/>
      <c r="M6" s="202"/>
      <c r="N6" s="202"/>
    </row>
    <row r="7" spans="1:14" ht="16.5" customHeight="1" x14ac:dyDescent="0.35">
      <c r="A7" s="157"/>
      <c r="B7" s="243"/>
      <c r="C7" s="242"/>
      <c r="D7" s="161">
        <v>-99</v>
      </c>
      <c r="E7" s="162" t="s">
        <v>6</v>
      </c>
      <c r="F7" s="406"/>
      <c r="G7" s="207"/>
      <c r="H7" s="202"/>
      <c r="J7" s="202"/>
      <c r="K7" s="202"/>
      <c r="L7" s="202"/>
      <c r="M7" s="202"/>
      <c r="N7" s="202"/>
    </row>
    <row r="8" spans="1:14" x14ac:dyDescent="0.35">
      <c r="A8" s="156" t="s">
        <v>219</v>
      </c>
      <c r="B8" s="246">
        <f>B4+1</f>
        <v>2</v>
      </c>
      <c r="C8" s="323" t="s">
        <v>312</v>
      </c>
      <c r="D8" s="27">
        <v>1</v>
      </c>
      <c r="E8" s="8" t="s">
        <v>4</v>
      </c>
      <c r="F8" s="405" t="s">
        <v>110</v>
      </c>
      <c r="G8" s="207"/>
      <c r="H8" s="202"/>
      <c r="I8" s="172" t="s">
        <v>462</v>
      </c>
      <c r="J8" s="202"/>
      <c r="K8" s="202"/>
      <c r="L8" s="202"/>
      <c r="M8" s="202"/>
      <c r="N8" s="202"/>
    </row>
    <row r="9" spans="1:14" x14ac:dyDescent="0.35">
      <c r="A9" s="157"/>
      <c r="B9" s="243"/>
      <c r="C9" s="342"/>
      <c r="D9" s="47">
        <v>2</v>
      </c>
      <c r="E9" s="9" t="s">
        <v>5</v>
      </c>
      <c r="F9" s="406"/>
      <c r="G9" s="207"/>
      <c r="H9" s="202"/>
      <c r="I9" s="172" t="s">
        <v>463</v>
      </c>
      <c r="J9" s="202"/>
      <c r="K9" s="202"/>
      <c r="L9" s="202"/>
      <c r="M9" s="202"/>
      <c r="N9" s="202"/>
    </row>
    <row r="10" spans="1:14" ht="16.5" customHeight="1" x14ac:dyDescent="0.35">
      <c r="A10" s="157"/>
      <c r="B10" s="243"/>
      <c r="C10" s="342"/>
      <c r="D10" s="103">
        <v>-88</v>
      </c>
      <c r="E10" s="160" t="s">
        <v>7</v>
      </c>
      <c r="F10" s="406"/>
      <c r="G10" s="207"/>
      <c r="H10" s="202"/>
      <c r="J10" s="202"/>
      <c r="K10" s="202"/>
      <c r="L10" s="202"/>
      <c r="M10" s="202"/>
      <c r="N10" s="202"/>
    </row>
    <row r="11" spans="1:14" ht="16.5" customHeight="1" x14ac:dyDescent="0.35">
      <c r="A11" s="157"/>
      <c r="B11" s="243"/>
      <c r="C11" s="242"/>
      <c r="D11" s="161">
        <v>-99</v>
      </c>
      <c r="E11" s="162" t="s">
        <v>6</v>
      </c>
      <c r="F11" s="406"/>
      <c r="G11" s="207"/>
      <c r="H11" s="202"/>
      <c r="J11" s="202"/>
      <c r="K11" s="202"/>
      <c r="L11" s="202"/>
      <c r="M11" s="202"/>
      <c r="N11" s="202"/>
    </row>
    <row r="12" spans="1:14" x14ac:dyDescent="0.35">
      <c r="A12" s="156" t="s">
        <v>219</v>
      </c>
      <c r="B12" s="246">
        <f>B8+1</f>
        <v>3</v>
      </c>
      <c r="C12" s="323" t="s">
        <v>313</v>
      </c>
      <c r="D12" s="27">
        <v>1</v>
      </c>
      <c r="E12" s="8" t="s">
        <v>4</v>
      </c>
      <c r="F12" s="405" t="s">
        <v>110</v>
      </c>
      <c r="G12" s="207"/>
      <c r="H12" s="202"/>
      <c r="I12" s="172" t="s">
        <v>464</v>
      </c>
      <c r="J12" s="202"/>
      <c r="K12" s="202"/>
      <c r="L12" s="202"/>
      <c r="M12" s="202"/>
      <c r="N12" s="202"/>
    </row>
    <row r="13" spans="1:14" x14ac:dyDescent="0.35">
      <c r="A13" s="157"/>
      <c r="B13" s="243"/>
      <c r="C13" s="342"/>
      <c r="D13" s="47">
        <v>2</v>
      </c>
      <c r="E13" s="9" t="s">
        <v>5</v>
      </c>
      <c r="F13" s="406"/>
      <c r="G13" s="207"/>
      <c r="H13" s="202"/>
      <c r="I13" s="172" t="s">
        <v>465</v>
      </c>
      <c r="J13" s="202"/>
      <c r="K13" s="202"/>
      <c r="L13" s="202"/>
      <c r="M13" s="202"/>
      <c r="N13" s="202"/>
    </row>
    <row r="14" spans="1:14" x14ac:dyDescent="0.35">
      <c r="A14" s="157"/>
      <c r="B14" s="243"/>
      <c r="C14" s="342"/>
      <c r="D14" s="103">
        <v>-88</v>
      </c>
      <c r="E14" s="160" t="s">
        <v>7</v>
      </c>
      <c r="F14" s="406"/>
      <c r="G14" s="207"/>
      <c r="H14" s="202"/>
      <c r="J14" s="202"/>
      <c r="K14" s="202"/>
      <c r="L14" s="202"/>
      <c r="M14" s="202"/>
      <c r="N14" s="202"/>
    </row>
    <row r="15" spans="1:14" x14ac:dyDescent="0.35">
      <c r="A15" s="208"/>
      <c r="B15" s="247"/>
      <c r="C15" s="284"/>
      <c r="D15" s="161">
        <v>-99</v>
      </c>
      <c r="E15" s="162" t="s">
        <v>6</v>
      </c>
      <c r="F15" s="407"/>
      <c r="G15" s="207"/>
      <c r="H15" s="202"/>
      <c r="J15" s="202"/>
      <c r="K15" s="202"/>
      <c r="L15" s="202"/>
      <c r="M15" s="202"/>
      <c r="N15" s="202"/>
    </row>
    <row r="16" spans="1:14" ht="15" customHeight="1" x14ac:dyDescent="0.35">
      <c r="A16" s="209"/>
      <c r="B16" s="190"/>
      <c r="C16" s="190"/>
      <c r="D16" s="103"/>
      <c r="E16" s="80"/>
      <c r="F16" s="288"/>
    </row>
    <row r="17" spans="1:14" ht="36.75" customHeight="1" thickBot="1" x14ac:dyDescent="0.4">
      <c r="A17" s="431" t="s">
        <v>554</v>
      </c>
      <c r="B17" s="431"/>
      <c r="C17" s="431"/>
      <c r="D17" s="431"/>
      <c r="E17" s="431"/>
      <c r="F17" s="431"/>
    </row>
    <row r="18" spans="1:14" ht="40.5" customHeight="1" thickBot="1" x14ac:dyDescent="0.4">
      <c r="A18" s="210"/>
      <c r="B18" s="211"/>
      <c r="C18" s="432" t="s">
        <v>555</v>
      </c>
      <c r="D18" s="433"/>
      <c r="E18" s="434"/>
      <c r="F18" s="212" t="s">
        <v>226</v>
      </c>
      <c r="G18" s="426" t="s">
        <v>198</v>
      </c>
      <c r="H18" s="400"/>
    </row>
    <row r="19" spans="1:14" ht="15" customHeight="1" x14ac:dyDescent="0.35">
      <c r="A19" s="157" t="s">
        <v>219</v>
      </c>
      <c r="B19" s="243">
        <f>B12+1</f>
        <v>4</v>
      </c>
      <c r="C19" s="311" t="s">
        <v>259</v>
      </c>
      <c r="D19" s="27">
        <v>1</v>
      </c>
      <c r="E19" s="8" t="s">
        <v>4</v>
      </c>
      <c r="F19" s="406" t="s">
        <v>110</v>
      </c>
      <c r="G19" s="429"/>
      <c r="H19" s="430"/>
      <c r="I19" s="172" t="s">
        <v>451</v>
      </c>
      <c r="J19" s="202"/>
      <c r="K19" s="202"/>
      <c r="L19" s="202"/>
      <c r="M19" s="202"/>
      <c r="N19" s="202"/>
    </row>
    <row r="20" spans="1:14" x14ac:dyDescent="0.35">
      <c r="A20" s="157"/>
      <c r="B20" s="243"/>
      <c r="C20" s="311"/>
      <c r="D20" s="47">
        <v>2</v>
      </c>
      <c r="E20" s="9" t="s">
        <v>5</v>
      </c>
      <c r="F20" s="406"/>
      <c r="G20" s="429"/>
      <c r="H20" s="430"/>
      <c r="I20" s="172" t="s">
        <v>452</v>
      </c>
      <c r="J20" s="202"/>
      <c r="K20" s="202"/>
      <c r="L20" s="202"/>
      <c r="M20" s="202"/>
      <c r="N20" s="202"/>
    </row>
    <row r="21" spans="1:14" x14ac:dyDescent="0.35">
      <c r="A21" s="157"/>
      <c r="B21" s="243"/>
      <c r="C21" s="311"/>
      <c r="D21" s="103">
        <v>-88</v>
      </c>
      <c r="E21" s="160" t="s">
        <v>7</v>
      </c>
      <c r="F21" s="406"/>
      <c r="G21" s="429"/>
      <c r="H21" s="430"/>
      <c r="J21" s="202"/>
      <c r="K21" s="202"/>
      <c r="L21" s="202"/>
      <c r="M21" s="202"/>
      <c r="N21" s="202"/>
    </row>
    <row r="22" spans="1:14" x14ac:dyDescent="0.35">
      <c r="A22" s="157"/>
      <c r="B22" s="243"/>
      <c r="C22" s="311"/>
      <c r="D22" s="103">
        <v>-99</v>
      </c>
      <c r="E22" s="160" t="s">
        <v>6</v>
      </c>
      <c r="F22" s="406"/>
      <c r="G22" s="429"/>
      <c r="H22" s="430"/>
      <c r="J22" s="202"/>
      <c r="K22" s="202"/>
      <c r="L22" s="202"/>
      <c r="M22" s="202"/>
      <c r="N22" s="202"/>
    </row>
    <row r="23" spans="1:14" ht="15" customHeight="1" x14ac:dyDescent="0.35">
      <c r="A23" s="156" t="s">
        <v>219</v>
      </c>
      <c r="B23" s="246">
        <f>B19+1</f>
        <v>5</v>
      </c>
      <c r="C23" s="319" t="s">
        <v>258</v>
      </c>
      <c r="D23" s="27">
        <v>1</v>
      </c>
      <c r="E23" s="8" t="s">
        <v>4</v>
      </c>
      <c r="F23" s="405" t="s">
        <v>110</v>
      </c>
      <c r="G23" s="429"/>
      <c r="H23" s="430"/>
      <c r="I23" s="172" t="s">
        <v>453</v>
      </c>
      <c r="J23" s="202"/>
      <c r="K23" s="202"/>
      <c r="L23" s="202"/>
      <c r="M23" s="202"/>
      <c r="N23" s="202"/>
    </row>
    <row r="24" spans="1:14" ht="15" customHeight="1" x14ac:dyDescent="0.35">
      <c r="A24" s="157"/>
      <c r="B24" s="243"/>
      <c r="C24" s="311"/>
      <c r="D24" s="47">
        <v>2</v>
      </c>
      <c r="E24" s="9" t="s">
        <v>5</v>
      </c>
      <c r="F24" s="406"/>
      <c r="G24" s="429"/>
      <c r="H24" s="430"/>
      <c r="I24" s="172" t="s">
        <v>454</v>
      </c>
      <c r="J24" s="202"/>
      <c r="K24" s="202"/>
      <c r="L24" s="202"/>
      <c r="M24" s="202"/>
      <c r="N24" s="202"/>
    </row>
    <row r="25" spans="1:14" ht="15" customHeight="1" x14ac:dyDescent="0.35">
      <c r="A25" s="157"/>
      <c r="B25" s="243"/>
      <c r="C25" s="311"/>
      <c r="D25" s="103">
        <v>-88</v>
      </c>
      <c r="E25" s="160" t="s">
        <v>7</v>
      </c>
      <c r="F25" s="406"/>
      <c r="G25" s="429"/>
      <c r="H25" s="430"/>
      <c r="J25" s="202"/>
      <c r="K25" s="202"/>
      <c r="L25" s="202"/>
      <c r="M25" s="202"/>
      <c r="N25" s="202"/>
    </row>
    <row r="26" spans="1:14" ht="15" customHeight="1" x14ac:dyDescent="0.35">
      <c r="A26" s="208"/>
      <c r="B26" s="247"/>
      <c r="C26" s="321"/>
      <c r="D26" s="161">
        <v>-99</v>
      </c>
      <c r="E26" s="162" t="s">
        <v>6</v>
      </c>
      <c r="F26" s="407"/>
      <c r="G26" s="429"/>
      <c r="H26" s="430"/>
      <c r="J26" s="202"/>
      <c r="K26" s="202"/>
      <c r="L26" s="202"/>
      <c r="M26" s="202"/>
      <c r="N26" s="202"/>
    </row>
    <row r="27" spans="1:14" x14ac:dyDescent="0.35">
      <c r="A27" s="156" t="s">
        <v>219</v>
      </c>
      <c r="B27" s="246">
        <f>B23+1</f>
        <v>6</v>
      </c>
      <c r="C27" s="323" t="s">
        <v>228</v>
      </c>
      <c r="D27" s="27">
        <v>1</v>
      </c>
      <c r="E27" s="8" t="s">
        <v>4</v>
      </c>
      <c r="F27" s="405" t="s">
        <v>110</v>
      </c>
      <c r="I27" s="172" t="s">
        <v>361</v>
      </c>
    </row>
    <row r="28" spans="1:14" ht="15" customHeight="1" x14ac:dyDescent="0.35">
      <c r="A28" s="157"/>
      <c r="B28" s="243"/>
      <c r="C28" s="342"/>
      <c r="D28" s="47">
        <v>2</v>
      </c>
      <c r="E28" s="9" t="s">
        <v>5</v>
      </c>
      <c r="F28" s="406"/>
      <c r="H28" s="202"/>
      <c r="J28" s="202"/>
      <c r="K28" s="202"/>
      <c r="L28" s="202"/>
      <c r="M28" s="202"/>
      <c r="N28" s="202"/>
    </row>
    <row r="29" spans="1:14" x14ac:dyDescent="0.35">
      <c r="A29" s="157"/>
      <c r="B29" s="243"/>
      <c r="C29" s="342"/>
      <c r="D29" s="103">
        <v>-88</v>
      </c>
      <c r="E29" s="160" t="s">
        <v>7</v>
      </c>
      <c r="F29" s="406"/>
    </row>
    <row r="30" spans="1:14" ht="15" customHeight="1" x14ac:dyDescent="0.35">
      <c r="A30" s="157"/>
      <c r="B30" s="243"/>
      <c r="C30" s="242"/>
      <c r="D30" s="103">
        <v>-99</v>
      </c>
      <c r="E30" s="160" t="s">
        <v>6</v>
      </c>
      <c r="F30" s="406"/>
    </row>
    <row r="31" spans="1:14" ht="15" customHeight="1" x14ac:dyDescent="0.35">
      <c r="A31" s="156" t="s">
        <v>219</v>
      </c>
      <c r="B31" s="246">
        <f>B27+1</f>
        <v>7</v>
      </c>
      <c r="C31" s="245" t="s">
        <v>123</v>
      </c>
      <c r="D31" s="27">
        <v>1</v>
      </c>
      <c r="E31" s="8" t="s">
        <v>4</v>
      </c>
      <c r="F31" s="405" t="s">
        <v>110</v>
      </c>
      <c r="H31" s="202"/>
      <c r="I31" s="172" t="s">
        <v>362</v>
      </c>
      <c r="J31" s="202"/>
      <c r="K31" s="202"/>
      <c r="L31" s="202"/>
      <c r="M31" s="202"/>
      <c r="N31" s="202"/>
    </row>
    <row r="32" spans="1:14" ht="15" customHeight="1" x14ac:dyDescent="0.35">
      <c r="A32" s="157"/>
      <c r="B32" s="243"/>
      <c r="C32" s="242"/>
      <c r="D32" s="47">
        <v>2</v>
      </c>
      <c r="E32" s="9" t="s">
        <v>5</v>
      </c>
      <c r="F32" s="406"/>
      <c r="H32" s="202"/>
      <c r="J32" s="202"/>
      <c r="K32" s="202"/>
      <c r="L32" s="202"/>
      <c r="M32" s="202"/>
      <c r="N32" s="202"/>
    </row>
    <row r="33" spans="1:14" ht="15" customHeight="1" x14ac:dyDescent="0.35">
      <c r="A33" s="157"/>
      <c r="B33" s="243"/>
      <c r="C33" s="242"/>
      <c r="D33" s="103">
        <v>-88</v>
      </c>
      <c r="E33" s="160" t="s">
        <v>7</v>
      </c>
      <c r="F33" s="406"/>
      <c r="H33" s="202"/>
      <c r="J33" s="202"/>
      <c r="K33" s="202"/>
      <c r="L33" s="202"/>
      <c r="M33" s="202"/>
      <c r="N33" s="202"/>
    </row>
    <row r="34" spans="1:14" ht="44.25" customHeight="1" x14ac:dyDescent="0.35">
      <c r="A34" s="208"/>
      <c r="B34" s="247"/>
      <c r="C34" s="284"/>
      <c r="D34" s="161">
        <v>-99</v>
      </c>
      <c r="E34" s="162" t="s">
        <v>6</v>
      </c>
      <c r="F34" s="407"/>
      <c r="H34" s="202"/>
      <c r="J34" s="202"/>
      <c r="K34" s="202"/>
      <c r="L34" s="202"/>
      <c r="M34" s="202"/>
      <c r="N34" s="202"/>
    </row>
    <row r="35" spans="1:14" x14ac:dyDescent="0.35">
      <c r="A35" s="156" t="s">
        <v>219</v>
      </c>
      <c r="B35" s="246">
        <f>B31+1</f>
        <v>8</v>
      </c>
      <c r="C35" s="323" t="s">
        <v>215</v>
      </c>
      <c r="D35" s="27">
        <v>1</v>
      </c>
      <c r="E35" s="8" t="s">
        <v>4</v>
      </c>
      <c r="F35" s="405" t="s">
        <v>110</v>
      </c>
      <c r="I35" s="172" t="s">
        <v>363</v>
      </c>
    </row>
    <row r="36" spans="1:14" x14ac:dyDescent="0.35">
      <c r="A36" s="157"/>
      <c r="B36" s="243"/>
      <c r="C36" s="342"/>
      <c r="D36" s="47">
        <v>2</v>
      </c>
      <c r="E36" s="9" t="s">
        <v>5</v>
      </c>
      <c r="F36" s="406"/>
    </row>
    <row r="37" spans="1:14" x14ac:dyDescent="0.35">
      <c r="A37" s="157"/>
      <c r="B37" s="243"/>
      <c r="C37" s="342"/>
      <c r="D37" s="103">
        <v>-88</v>
      </c>
      <c r="E37" s="160" t="s">
        <v>7</v>
      </c>
      <c r="F37" s="406"/>
      <c r="H37" s="202"/>
      <c r="J37" s="202"/>
      <c r="K37" s="202"/>
      <c r="L37" s="202"/>
      <c r="M37" s="202"/>
      <c r="N37" s="202"/>
    </row>
    <row r="38" spans="1:14" x14ac:dyDescent="0.35">
      <c r="A38" s="157"/>
      <c r="B38" s="243"/>
      <c r="C38" s="242"/>
      <c r="D38" s="161">
        <v>-99</v>
      </c>
      <c r="E38" s="162" t="s">
        <v>6</v>
      </c>
      <c r="F38" s="406"/>
    </row>
    <row r="39" spans="1:14" x14ac:dyDescent="0.35">
      <c r="A39" s="157" t="s">
        <v>219</v>
      </c>
      <c r="B39" s="246">
        <f>B35+1</f>
        <v>9</v>
      </c>
      <c r="C39" s="323" t="s">
        <v>227</v>
      </c>
      <c r="D39" s="27">
        <v>1</v>
      </c>
      <c r="E39" s="8" t="s">
        <v>4</v>
      </c>
      <c r="F39" s="405" t="s">
        <v>110</v>
      </c>
      <c r="H39" s="202"/>
      <c r="I39" s="172" t="s">
        <v>364</v>
      </c>
      <c r="J39" s="202"/>
      <c r="K39" s="202"/>
      <c r="L39" s="202"/>
      <c r="M39" s="202"/>
      <c r="N39" s="202"/>
    </row>
    <row r="40" spans="1:14" ht="15" customHeight="1" x14ac:dyDescent="0.35">
      <c r="A40" s="157"/>
      <c r="B40" s="243"/>
      <c r="C40" s="342"/>
      <c r="D40" s="47">
        <v>2</v>
      </c>
      <c r="E40" s="9" t="s">
        <v>5</v>
      </c>
      <c r="F40" s="406"/>
    </row>
    <row r="41" spans="1:14" x14ac:dyDescent="0.35">
      <c r="A41" s="157"/>
      <c r="B41" s="243"/>
      <c r="C41" s="242"/>
      <c r="D41" s="103">
        <v>-88</v>
      </c>
      <c r="E41" s="160" t="s">
        <v>7</v>
      </c>
      <c r="F41" s="406"/>
    </row>
    <row r="42" spans="1:14" x14ac:dyDescent="0.35">
      <c r="A42" s="157"/>
      <c r="B42" s="243"/>
      <c r="C42" s="242"/>
      <c r="D42" s="103">
        <v>-99</v>
      </c>
      <c r="E42" s="160" t="s">
        <v>6</v>
      </c>
      <c r="F42" s="406"/>
      <c r="H42" s="202"/>
      <c r="J42" s="202"/>
      <c r="K42" s="202"/>
      <c r="L42" s="202"/>
      <c r="M42" s="202"/>
      <c r="N42" s="202"/>
    </row>
    <row r="43" spans="1:14" x14ac:dyDescent="0.35">
      <c r="A43" s="156" t="s">
        <v>219</v>
      </c>
      <c r="B43" s="246">
        <f>B39+1</f>
        <v>10</v>
      </c>
      <c r="C43" s="323" t="s">
        <v>304</v>
      </c>
      <c r="D43" s="27">
        <v>1</v>
      </c>
      <c r="E43" s="8" t="s">
        <v>4</v>
      </c>
      <c r="F43" s="405" t="s">
        <v>110</v>
      </c>
      <c r="H43" s="202"/>
      <c r="I43" s="172" t="s">
        <v>365</v>
      </c>
      <c r="J43" s="202"/>
      <c r="K43" s="202"/>
      <c r="L43" s="202"/>
      <c r="M43" s="202"/>
      <c r="N43" s="202"/>
    </row>
    <row r="44" spans="1:14" x14ac:dyDescent="0.35">
      <c r="A44" s="157"/>
      <c r="B44" s="243"/>
      <c r="C44" s="342"/>
      <c r="D44" s="47">
        <v>2</v>
      </c>
      <c r="E44" s="9" t="s">
        <v>5</v>
      </c>
      <c r="F44" s="406"/>
    </row>
    <row r="45" spans="1:14" x14ac:dyDescent="0.35">
      <c r="A45" s="157"/>
      <c r="B45" s="243"/>
      <c r="C45" s="242"/>
      <c r="D45" s="103">
        <v>-77</v>
      </c>
      <c r="E45" s="80" t="s">
        <v>8</v>
      </c>
      <c r="F45" s="406"/>
    </row>
    <row r="46" spans="1:14" x14ac:dyDescent="0.35">
      <c r="A46" s="157"/>
      <c r="B46" s="243"/>
      <c r="C46" s="213"/>
      <c r="D46" s="103">
        <v>-88</v>
      </c>
      <c r="E46" s="160" t="s">
        <v>7</v>
      </c>
      <c r="F46" s="406"/>
    </row>
    <row r="47" spans="1:14" ht="15" customHeight="1" x14ac:dyDescent="0.35">
      <c r="A47" s="208"/>
      <c r="B47" s="247"/>
      <c r="C47" s="284"/>
      <c r="D47" s="161">
        <v>-99</v>
      </c>
      <c r="E47" s="162" t="s">
        <v>6</v>
      </c>
      <c r="F47" s="407"/>
      <c r="H47" s="202"/>
      <c r="J47" s="202"/>
      <c r="K47" s="202"/>
      <c r="L47" s="202"/>
      <c r="M47" s="202"/>
      <c r="N47" s="202"/>
    </row>
    <row r="48" spans="1:14" ht="15" customHeight="1" x14ac:dyDescent="0.35">
      <c r="A48" s="156" t="s">
        <v>219</v>
      </c>
      <c r="B48" s="250">
        <f>B43+1</f>
        <v>11</v>
      </c>
      <c r="C48" s="248" t="s">
        <v>12</v>
      </c>
      <c r="D48" s="27">
        <v>1</v>
      </c>
      <c r="E48" s="8" t="s">
        <v>4</v>
      </c>
      <c r="F48" s="405" t="s">
        <v>110</v>
      </c>
      <c r="I48" s="172" t="s">
        <v>366</v>
      </c>
    </row>
    <row r="49" spans="1:14" x14ac:dyDescent="0.35">
      <c r="A49" s="157"/>
      <c r="B49" s="190"/>
      <c r="C49" s="214"/>
      <c r="D49" s="47">
        <v>2</v>
      </c>
      <c r="E49" s="9" t="s">
        <v>5</v>
      </c>
      <c r="F49" s="406"/>
    </row>
    <row r="50" spans="1:14" x14ac:dyDescent="0.35">
      <c r="A50" s="157"/>
      <c r="B50" s="190"/>
      <c r="C50" s="252"/>
      <c r="D50" s="103">
        <v>-88</v>
      </c>
      <c r="E50" s="160" t="s">
        <v>7</v>
      </c>
      <c r="F50" s="406"/>
      <c r="H50" s="202"/>
      <c r="J50" s="202"/>
      <c r="K50" s="202"/>
      <c r="L50" s="202"/>
      <c r="M50" s="202"/>
      <c r="N50" s="202"/>
    </row>
    <row r="51" spans="1:14" x14ac:dyDescent="0.35">
      <c r="A51" s="157"/>
      <c r="B51" s="190"/>
      <c r="C51" s="252"/>
      <c r="D51" s="161">
        <v>-99</v>
      </c>
      <c r="E51" s="162" t="s">
        <v>6</v>
      </c>
      <c r="F51" s="406"/>
    </row>
    <row r="52" spans="1:14" x14ac:dyDescent="0.35">
      <c r="A52" s="156" t="s">
        <v>219</v>
      </c>
      <c r="B52" s="246">
        <f>B48+1</f>
        <v>12</v>
      </c>
      <c r="C52" s="323" t="s">
        <v>244</v>
      </c>
      <c r="D52" s="27">
        <v>1</v>
      </c>
      <c r="E52" s="8" t="s">
        <v>4</v>
      </c>
      <c r="F52" s="405" t="s">
        <v>110</v>
      </c>
      <c r="H52" s="202"/>
      <c r="I52" s="172" t="s">
        <v>367</v>
      </c>
      <c r="J52" s="202"/>
      <c r="K52" s="202"/>
      <c r="L52" s="202"/>
      <c r="M52" s="202"/>
      <c r="N52" s="202"/>
    </row>
    <row r="53" spans="1:14" x14ac:dyDescent="0.35">
      <c r="A53" s="157"/>
      <c r="B53" s="243"/>
      <c r="C53" s="342"/>
      <c r="D53" s="47">
        <v>2</v>
      </c>
      <c r="E53" s="9" t="s">
        <v>5</v>
      </c>
      <c r="F53" s="406"/>
      <c r="H53" s="202"/>
    </row>
    <row r="54" spans="1:14" ht="16.5" customHeight="1" x14ac:dyDescent="0.35">
      <c r="A54" s="157"/>
      <c r="B54" s="243"/>
      <c r="C54" s="242"/>
      <c r="D54" s="103">
        <v>-88</v>
      </c>
      <c r="E54" s="160" t="s">
        <v>7</v>
      </c>
      <c r="F54" s="406"/>
      <c r="H54" s="202"/>
    </row>
    <row r="55" spans="1:14" x14ac:dyDescent="0.35">
      <c r="A55" s="157"/>
      <c r="B55" s="243"/>
      <c r="C55" s="242"/>
      <c r="D55" s="103">
        <v>-99</v>
      </c>
      <c r="E55" s="160" t="s">
        <v>6</v>
      </c>
      <c r="F55" s="406"/>
      <c r="H55" s="202"/>
      <c r="J55" s="202"/>
      <c r="K55" s="202"/>
      <c r="L55" s="202"/>
      <c r="M55" s="202"/>
      <c r="N55" s="202"/>
    </row>
    <row r="56" spans="1:14" x14ac:dyDescent="0.35">
      <c r="A56" s="156" t="s">
        <v>219</v>
      </c>
      <c r="B56" s="246">
        <f>B52+1</f>
        <v>13</v>
      </c>
      <c r="C56" s="245" t="s">
        <v>124</v>
      </c>
      <c r="D56" s="27">
        <v>1</v>
      </c>
      <c r="E56" s="8" t="s">
        <v>4</v>
      </c>
      <c r="F56" s="405" t="s">
        <v>110</v>
      </c>
      <c r="H56" s="202"/>
      <c r="I56" s="172" t="s">
        <v>368</v>
      </c>
      <c r="J56" s="202"/>
      <c r="K56" s="202"/>
      <c r="L56" s="202"/>
      <c r="M56" s="202"/>
      <c r="N56" s="202"/>
    </row>
    <row r="57" spans="1:14" x14ac:dyDescent="0.35">
      <c r="A57" s="157"/>
      <c r="B57" s="243"/>
      <c r="C57" s="242"/>
      <c r="D57" s="47">
        <v>2</v>
      </c>
      <c r="E57" s="9" t="s">
        <v>5</v>
      </c>
      <c r="F57" s="406"/>
    </row>
    <row r="58" spans="1:14" x14ac:dyDescent="0.35">
      <c r="A58" s="157"/>
      <c r="B58" s="243"/>
      <c r="C58" s="242"/>
      <c r="D58" s="103">
        <v>-88</v>
      </c>
      <c r="E58" s="160" t="s">
        <v>7</v>
      </c>
      <c r="F58" s="406"/>
    </row>
    <row r="59" spans="1:14" x14ac:dyDescent="0.35">
      <c r="A59" s="208"/>
      <c r="B59" s="247"/>
      <c r="C59" s="284"/>
      <c r="D59" s="161">
        <v>-99</v>
      </c>
      <c r="E59" s="162" t="s">
        <v>6</v>
      </c>
      <c r="F59" s="407"/>
      <c r="H59" s="202"/>
      <c r="J59" s="202"/>
      <c r="K59" s="202"/>
      <c r="L59" s="202"/>
      <c r="M59" s="202"/>
      <c r="N59" s="202"/>
    </row>
    <row r="60" spans="1:14" x14ac:dyDescent="0.35">
      <c r="A60" s="156" t="s">
        <v>219</v>
      </c>
      <c r="B60" s="246">
        <f>B56+1</f>
        <v>14</v>
      </c>
      <c r="C60" s="323" t="s">
        <v>550</v>
      </c>
      <c r="D60" s="154">
        <v>1</v>
      </c>
      <c r="E60" s="152" t="s">
        <v>4</v>
      </c>
      <c r="F60" s="405" t="s">
        <v>110</v>
      </c>
      <c r="H60" s="202"/>
      <c r="I60" s="172" t="s">
        <v>369</v>
      </c>
      <c r="J60" s="202"/>
      <c r="K60" s="202"/>
      <c r="L60" s="202"/>
      <c r="M60" s="202"/>
      <c r="N60" s="202"/>
    </row>
    <row r="61" spans="1:14" x14ac:dyDescent="0.35">
      <c r="A61" s="157"/>
      <c r="B61" s="243"/>
      <c r="C61" s="342"/>
      <c r="D61" s="155">
        <v>2</v>
      </c>
      <c r="E61" s="153" t="s">
        <v>5</v>
      </c>
      <c r="F61" s="406"/>
    </row>
    <row r="62" spans="1:14" x14ac:dyDescent="0.35">
      <c r="A62" s="157"/>
      <c r="B62" s="243"/>
      <c r="C62" s="342"/>
      <c r="D62" s="215">
        <v>-88</v>
      </c>
      <c r="E62" s="153" t="s">
        <v>7</v>
      </c>
      <c r="F62" s="406"/>
    </row>
    <row r="63" spans="1:14" ht="21" customHeight="1" x14ac:dyDescent="0.35">
      <c r="A63" s="157"/>
      <c r="B63" s="243"/>
      <c r="C63" s="342"/>
      <c r="D63" s="216">
        <v>-99</v>
      </c>
      <c r="E63" s="217" t="s">
        <v>6</v>
      </c>
      <c r="F63" s="406"/>
      <c r="H63" s="202"/>
      <c r="J63" s="202"/>
      <c r="K63" s="202"/>
      <c r="L63" s="202"/>
      <c r="M63" s="202"/>
      <c r="N63" s="202"/>
    </row>
    <row r="64" spans="1:14" x14ac:dyDescent="0.35">
      <c r="A64" s="157" t="s">
        <v>219</v>
      </c>
      <c r="B64" s="243">
        <f>B60+1</f>
        <v>15</v>
      </c>
      <c r="C64" s="323" t="s">
        <v>245</v>
      </c>
      <c r="D64" s="27">
        <v>1</v>
      </c>
      <c r="E64" s="8" t="s">
        <v>4</v>
      </c>
      <c r="F64" s="405" t="s">
        <v>110</v>
      </c>
      <c r="H64" s="202"/>
      <c r="I64" s="172" t="s">
        <v>370</v>
      </c>
      <c r="J64" s="202"/>
      <c r="K64" s="202"/>
      <c r="L64" s="202"/>
      <c r="M64" s="202"/>
      <c r="N64" s="202"/>
    </row>
    <row r="65" spans="1:14" x14ac:dyDescent="0.35">
      <c r="A65" s="157"/>
      <c r="B65" s="243"/>
      <c r="C65" s="342"/>
      <c r="D65" s="47">
        <v>2</v>
      </c>
      <c r="E65" s="9" t="s">
        <v>5</v>
      </c>
      <c r="F65" s="406"/>
    </row>
    <row r="66" spans="1:14" x14ac:dyDescent="0.35">
      <c r="A66" s="157"/>
      <c r="B66" s="243"/>
      <c r="C66" s="342"/>
      <c r="D66" s="103">
        <v>-88</v>
      </c>
      <c r="E66" s="160" t="s">
        <v>7</v>
      </c>
      <c r="F66" s="406"/>
    </row>
    <row r="67" spans="1:14" x14ac:dyDescent="0.35">
      <c r="A67" s="157"/>
      <c r="B67" s="243"/>
      <c r="C67" s="242"/>
      <c r="D67" s="161">
        <v>-99</v>
      </c>
      <c r="E67" s="162" t="s">
        <v>6</v>
      </c>
      <c r="F67" s="406"/>
      <c r="H67" s="202"/>
      <c r="J67" s="202"/>
      <c r="K67" s="202"/>
      <c r="L67" s="202"/>
      <c r="M67" s="202"/>
      <c r="N67" s="202"/>
    </row>
    <row r="68" spans="1:14" x14ac:dyDescent="0.35">
      <c r="A68" s="157" t="s">
        <v>219</v>
      </c>
      <c r="B68" s="243">
        <v>16</v>
      </c>
      <c r="C68" s="323" t="s">
        <v>594</v>
      </c>
      <c r="D68" s="27">
        <v>1</v>
      </c>
      <c r="E68" s="8" t="s">
        <v>4</v>
      </c>
      <c r="F68" s="405" t="s">
        <v>110</v>
      </c>
      <c r="I68" s="172" t="s">
        <v>372</v>
      </c>
    </row>
    <row r="69" spans="1:14" x14ac:dyDescent="0.35">
      <c r="A69" s="157"/>
      <c r="B69" s="243"/>
      <c r="C69" s="342"/>
      <c r="D69" s="47">
        <v>2</v>
      </c>
      <c r="E69" s="9" t="s">
        <v>5</v>
      </c>
      <c r="F69" s="406"/>
    </row>
    <row r="70" spans="1:14" x14ac:dyDescent="0.35">
      <c r="A70" s="157"/>
      <c r="B70" s="243"/>
      <c r="C70" s="342"/>
      <c r="D70" s="103">
        <v>-88</v>
      </c>
      <c r="E70" s="160" t="s">
        <v>7</v>
      </c>
      <c r="F70" s="406"/>
      <c r="H70" s="202"/>
      <c r="J70" s="202"/>
      <c r="K70" s="202"/>
      <c r="L70" s="202"/>
      <c r="M70" s="202"/>
      <c r="N70" s="202"/>
    </row>
    <row r="71" spans="1:14" x14ac:dyDescent="0.35">
      <c r="A71" s="157"/>
      <c r="B71" s="243"/>
      <c r="C71" s="342"/>
      <c r="D71" s="161">
        <v>-99</v>
      </c>
      <c r="E71" s="162" t="s">
        <v>6</v>
      </c>
      <c r="F71" s="406"/>
    </row>
    <row r="72" spans="1:14" x14ac:dyDescent="0.35">
      <c r="A72" s="156" t="s">
        <v>219</v>
      </c>
      <c r="B72" s="246">
        <f>B68+1</f>
        <v>17</v>
      </c>
      <c r="C72" s="323" t="s">
        <v>595</v>
      </c>
      <c r="D72" s="27">
        <v>1</v>
      </c>
      <c r="E72" s="8" t="s">
        <v>4</v>
      </c>
      <c r="F72" s="423" t="s">
        <v>110</v>
      </c>
      <c r="I72" s="172" t="s">
        <v>371</v>
      </c>
    </row>
    <row r="73" spans="1:14" x14ac:dyDescent="0.35">
      <c r="A73" s="157"/>
      <c r="B73" s="243"/>
      <c r="C73" s="342"/>
      <c r="D73" s="47">
        <v>2</v>
      </c>
      <c r="E73" s="9" t="s">
        <v>5</v>
      </c>
      <c r="F73" s="416"/>
    </row>
    <row r="74" spans="1:14" x14ac:dyDescent="0.35">
      <c r="A74" s="157"/>
      <c r="B74" s="243"/>
      <c r="C74" s="242"/>
      <c r="D74" s="103">
        <v>-88</v>
      </c>
      <c r="E74" s="160" t="s">
        <v>7</v>
      </c>
      <c r="F74" s="416"/>
      <c r="H74" s="202"/>
      <c r="J74" s="202"/>
      <c r="K74" s="202"/>
      <c r="L74" s="202"/>
      <c r="M74" s="202"/>
      <c r="N74" s="202"/>
    </row>
    <row r="75" spans="1:14" x14ac:dyDescent="0.35">
      <c r="A75" s="157"/>
      <c r="B75" s="243"/>
      <c r="C75" s="242"/>
      <c r="D75" s="161">
        <v>-99</v>
      </c>
      <c r="E75" s="162" t="s">
        <v>6</v>
      </c>
      <c r="F75" s="416"/>
    </row>
    <row r="76" spans="1:14" x14ac:dyDescent="0.35">
      <c r="A76" s="156" t="s">
        <v>219</v>
      </c>
      <c r="B76" s="246">
        <f>B72+1</f>
        <v>18</v>
      </c>
      <c r="C76" s="323" t="s">
        <v>314</v>
      </c>
      <c r="D76" s="27">
        <v>1</v>
      </c>
      <c r="E76" s="8" t="s">
        <v>4</v>
      </c>
      <c r="F76" s="405" t="s">
        <v>110</v>
      </c>
      <c r="H76" s="202"/>
      <c r="I76" s="172" t="s">
        <v>373</v>
      </c>
      <c r="J76" s="202"/>
      <c r="K76" s="202"/>
      <c r="L76" s="202"/>
      <c r="M76" s="202"/>
      <c r="N76" s="202"/>
    </row>
    <row r="77" spans="1:14" x14ac:dyDescent="0.35">
      <c r="A77" s="157"/>
      <c r="B77" s="243"/>
      <c r="C77" s="342"/>
      <c r="D77" s="47">
        <v>2</v>
      </c>
      <c r="E77" s="9" t="s">
        <v>5</v>
      </c>
      <c r="F77" s="406"/>
      <c r="H77" s="202"/>
      <c r="J77" s="202"/>
      <c r="K77" s="202"/>
      <c r="L77" s="202"/>
      <c r="M77" s="202"/>
      <c r="N77" s="202"/>
    </row>
    <row r="78" spans="1:14" x14ac:dyDescent="0.35">
      <c r="A78" s="157"/>
      <c r="B78" s="243"/>
      <c r="C78" s="242"/>
      <c r="D78" s="103">
        <v>-88</v>
      </c>
      <c r="E78" s="160" t="s">
        <v>7</v>
      </c>
      <c r="F78" s="406"/>
      <c r="H78" s="202"/>
      <c r="J78" s="202"/>
      <c r="K78" s="202"/>
      <c r="L78" s="202"/>
      <c r="M78" s="202"/>
      <c r="N78" s="202"/>
    </row>
    <row r="79" spans="1:14" ht="30.75" customHeight="1" x14ac:dyDescent="0.35">
      <c r="A79" s="157"/>
      <c r="B79" s="243"/>
      <c r="C79" s="242"/>
      <c r="D79" s="161">
        <v>-99</v>
      </c>
      <c r="E79" s="162" t="s">
        <v>6</v>
      </c>
      <c r="F79" s="406"/>
      <c r="H79" s="202"/>
      <c r="J79" s="202"/>
      <c r="K79" s="202"/>
      <c r="L79" s="202"/>
      <c r="M79" s="202"/>
      <c r="N79" s="202"/>
    </row>
    <row r="80" spans="1:14" ht="13.5" customHeight="1" x14ac:dyDescent="0.35">
      <c r="A80" s="156" t="s">
        <v>219</v>
      </c>
      <c r="B80" s="246">
        <f>B76+1</f>
        <v>19</v>
      </c>
      <c r="C80" s="323" t="s">
        <v>500</v>
      </c>
      <c r="D80" s="27">
        <v>1</v>
      </c>
      <c r="E80" s="8" t="s">
        <v>4</v>
      </c>
      <c r="F80" s="405" t="s">
        <v>110</v>
      </c>
      <c r="H80" s="202"/>
      <c r="I80" s="172" t="s">
        <v>374</v>
      </c>
      <c r="J80" s="202"/>
      <c r="K80" s="202"/>
      <c r="L80" s="202"/>
      <c r="M80" s="202"/>
      <c r="N80" s="202"/>
    </row>
    <row r="81" spans="1:14" x14ac:dyDescent="0.35">
      <c r="A81" s="157"/>
      <c r="B81" s="243"/>
      <c r="C81" s="342"/>
      <c r="D81" s="47">
        <v>2</v>
      </c>
      <c r="E81" s="9" t="s">
        <v>5</v>
      </c>
      <c r="F81" s="406"/>
      <c r="H81" s="202"/>
      <c r="J81" s="202"/>
      <c r="K81" s="202"/>
      <c r="L81" s="202"/>
      <c r="M81" s="202"/>
      <c r="N81" s="202"/>
    </row>
    <row r="82" spans="1:14" x14ac:dyDescent="0.35">
      <c r="A82" s="157"/>
      <c r="B82" s="243"/>
      <c r="C82" s="242"/>
      <c r="D82" s="103">
        <v>-88</v>
      </c>
      <c r="E82" s="160" t="s">
        <v>7</v>
      </c>
      <c r="F82" s="406"/>
      <c r="H82" s="202"/>
      <c r="J82" s="202"/>
      <c r="K82" s="202"/>
      <c r="L82" s="202"/>
      <c r="M82" s="202"/>
      <c r="N82" s="202"/>
    </row>
    <row r="83" spans="1:14" x14ac:dyDescent="0.35">
      <c r="A83" s="157"/>
      <c r="B83" s="243"/>
      <c r="C83" s="242"/>
      <c r="D83" s="103">
        <v>-99</v>
      </c>
      <c r="E83" s="160" t="s">
        <v>6</v>
      </c>
      <c r="F83" s="406"/>
      <c r="H83" s="202"/>
      <c r="J83" s="202"/>
      <c r="K83" s="202"/>
      <c r="L83" s="202"/>
      <c r="M83" s="202"/>
      <c r="N83" s="202"/>
    </row>
    <row r="84" spans="1:14" ht="15" customHeight="1" x14ac:dyDescent="0.35">
      <c r="A84" s="156" t="s">
        <v>219</v>
      </c>
      <c r="B84" s="246">
        <f>B80+1</f>
        <v>20</v>
      </c>
      <c r="C84" s="245" t="s">
        <v>15</v>
      </c>
      <c r="D84" s="27">
        <v>1</v>
      </c>
      <c r="E84" s="8" t="s">
        <v>4</v>
      </c>
      <c r="F84" s="405" t="s">
        <v>110</v>
      </c>
      <c r="H84" s="202"/>
      <c r="I84" s="172" t="s">
        <v>375</v>
      </c>
      <c r="J84" s="202"/>
      <c r="K84" s="202"/>
      <c r="L84" s="202"/>
      <c r="M84" s="202"/>
      <c r="N84" s="202"/>
    </row>
    <row r="85" spans="1:14" x14ac:dyDescent="0.35">
      <c r="A85" s="157"/>
      <c r="B85" s="243"/>
      <c r="C85" s="242"/>
      <c r="D85" s="47">
        <v>2</v>
      </c>
      <c r="E85" s="9" t="s">
        <v>5</v>
      </c>
      <c r="F85" s="406"/>
      <c r="H85" s="202"/>
      <c r="J85" s="202"/>
      <c r="K85" s="202"/>
      <c r="L85" s="202"/>
      <c r="M85" s="202"/>
      <c r="N85" s="202"/>
    </row>
    <row r="86" spans="1:14" x14ac:dyDescent="0.35">
      <c r="A86" s="157"/>
      <c r="B86" s="243"/>
      <c r="C86" s="242"/>
      <c r="D86" s="103">
        <v>-88</v>
      </c>
      <c r="E86" s="160" t="s">
        <v>7</v>
      </c>
      <c r="F86" s="406"/>
      <c r="H86" s="202"/>
    </row>
    <row r="87" spans="1:14" x14ac:dyDescent="0.35">
      <c r="A87" s="208"/>
      <c r="B87" s="247"/>
      <c r="C87" s="284"/>
      <c r="D87" s="161">
        <v>-99</v>
      </c>
      <c r="E87" s="162" t="s">
        <v>6</v>
      </c>
      <c r="F87" s="407"/>
      <c r="G87" s="52"/>
    </row>
    <row r="88" spans="1:14" ht="15" customHeight="1" x14ac:dyDescent="0.35">
      <c r="A88" s="156" t="s">
        <v>219</v>
      </c>
      <c r="B88" s="246">
        <f>B84+1</f>
        <v>21</v>
      </c>
      <c r="C88" s="323" t="s">
        <v>501</v>
      </c>
      <c r="D88" s="27">
        <v>1</v>
      </c>
      <c r="E88" s="8" t="s">
        <v>4</v>
      </c>
      <c r="F88" s="405" t="s">
        <v>110</v>
      </c>
      <c r="I88" s="172" t="s">
        <v>376</v>
      </c>
    </row>
    <row r="89" spans="1:14" x14ac:dyDescent="0.35">
      <c r="A89" s="31"/>
      <c r="B89" s="243"/>
      <c r="C89" s="342"/>
      <c r="D89" s="47">
        <v>2</v>
      </c>
      <c r="E89" s="9" t="s">
        <v>5</v>
      </c>
      <c r="F89" s="406"/>
      <c r="H89" s="202"/>
      <c r="J89" s="202"/>
      <c r="K89" s="202"/>
      <c r="L89" s="202"/>
      <c r="M89" s="202"/>
      <c r="N89" s="202"/>
    </row>
    <row r="90" spans="1:14" x14ac:dyDescent="0.35">
      <c r="A90" s="31"/>
      <c r="B90" s="243"/>
      <c r="C90" s="342"/>
      <c r="D90" s="103">
        <v>-88</v>
      </c>
      <c r="E90" s="160" t="s">
        <v>7</v>
      </c>
      <c r="F90" s="406"/>
    </row>
    <row r="91" spans="1:14" x14ac:dyDescent="0.35">
      <c r="A91" s="31"/>
      <c r="B91" s="243"/>
      <c r="C91" s="342"/>
      <c r="D91" s="103">
        <v>-99</v>
      </c>
      <c r="E91" s="160" t="s">
        <v>6</v>
      </c>
      <c r="F91" s="406"/>
    </row>
    <row r="92" spans="1:14" x14ac:dyDescent="0.35">
      <c r="A92" s="156" t="s">
        <v>219</v>
      </c>
      <c r="B92" s="246">
        <f>B88+1</f>
        <v>22</v>
      </c>
      <c r="C92" s="323" t="s">
        <v>596</v>
      </c>
      <c r="D92" s="27">
        <v>1</v>
      </c>
      <c r="E92" s="8" t="s">
        <v>4</v>
      </c>
      <c r="F92" s="405" t="s">
        <v>110</v>
      </c>
      <c r="I92" s="172" t="s">
        <v>377</v>
      </c>
    </row>
    <row r="93" spans="1:14" x14ac:dyDescent="0.35">
      <c r="A93" s="157"/>
      <c r="B93" s="243"/>
      <c r="C93" s="342"/>
      <c r="D93" s="47">
        <v>2</v>
      </c>
      <c r="E93" s="9" t="s">
        <v>5</v>
      </c>
      <c r="F93" s="406"/>
      <c r="H93" s="202"/>
      <c r="J93" s="202"/>
      <c r="K93" s="202"/>
      <c r="L93" s="202"/>
      <c r="M93" s="202"/>
      <c r="N93" s="202"/>
    </row>
    <row r="94" spans="1:14" x14ac:dyDescent="0.35">
      <c r="A94" s="157"/>
      <c r="B94" s="243"/>
      <c r="C94" s="342"/>
      <c r="D94" s="103">
        <v>-88</v>
      </c>
      <c r="E94" s="160" t="s">
        <v>7</v>
      </c>
      <c r="F94" s="406"/>
    </row>
    <row r="95" spans="1:14" x14ac:dyDescent="0.35">
      <c r="A95" s="208"/>
      <c r="B95" s="247"/>
      <c r="C95" s="324"/>
      <c r="D95" s="161">
        <v>-99</v>
      </c>
      <c r="E95" s="162" t="s">
        <v>6</v>
      </c>
      <c r="F95" s="407"/>
    </row>
    <row r="96" spans="1:14" x14ac:dyDescent="0.35">
      <c r="A96" s="157" t="s">
        <v>219</v>
      </c>
      <c r="B96" s="243">
        <v>23</v>
      </c>
      <c r="C96" s="242" t="s">
        <v>229</v>
      </c>
      <c r="D96" s="27">
        <v>1</v>
      </c>
      <c r="E96" s="8" t="s">
        <v>4</v>
      </c>
      <c r="F96" s="405" t="s">
        <v>110</v>
      </c>
      <c r="I96" s="172" t="s">
        <v>493</v>
      </c>
    </row>
    <row r="97" spans="1:14" x14ac:dyDescent="0.35">
      <c r="A97" s="157"/>
      <c r="B97" s="243"/>
      <c r="C97" s="242"/>
      <c r="D97" s="47">
        <v>2</v>
      </c>
      <c r="E97" s="9" t="s">
        <v>5</v>
      </c>
      <c r="F97" s="406"/>
      <c r="G97" s="52" t="s">
        <v>17</v>
      </c>
      <c r="H97" s="172" t="s">
        <v>322</v>
      </c>
      <c r="I97" s="172" t="s">
        <v>494</v>
      </c>
    </row>
    <row r="98" spans="1:14" x14ac:dyDescent="0.35">
      <c r="A98" s="157"/>
      <c r="B98" s="243"/>
      <c r="C98" s="242"/>
      <c r="D98" s="103">
        <v>-88</v>
      </c>
      <c r="E98" s="160" t="s">
        <v>7</v>
      </c>
      <c r="F98" s="406"/>
      <c r="H98" s="202"/>
      <c r="J98" s="202"/>
      <c r="K98" s="202"/>
      <c r="L98" s="202"/>
      <c r="M98" s="202"/>
      <c r="N98" s="202"/>
    </row>
    <row r="99" spans="1:14" x14ac:dyDescent="0.35">
      <c r="A99" s="157"/>
      <c r="B99" s="243"/>
      <c r="C99" s="242"/>
      <c r="D99" s="161">
        <v>-99</v>
      </c>
      <c r="E99" s="162" t="s">
        <v>6</v>
      </c>
      <c r="F99" s="406"/>
    </row>
    <row r="100" spans="1:14" x14ac:dyDescent="0.35">
      <c r="A100" s="156" t="s">
        <v>219</v>
      </c>
      <c r="B100" s="246">
        <f>B96</f>
        <v>23</v>
      </c>
      <c r="C100" s="323" t="s">
        <v>289</v>
      </c>
      <c r="D100" s="27">
        <v>1</v>
      </c>
      <c r="E100" s="325" t="s">
        <v>225</v>
      </c>
      <c r="F100" s="320"/>
      <c r="I100" s="172" t="s">
        <v>495</v>
      </c>
    </row>
    <row r="101" spans="1:14" x14ac:dyDescent="0.35">
      <c r="A101" s="157"/>
      <c r="B101" s="243"/>
      <c r="C101" s="342"/>
      <c r="D101" s="47">
        <f t="shared" ref="D101:D106" si="0">D100+1</f>
        <v>2</v>
      </c>
      <c r="E101" s="326" t="s">
        <v>268</v>
      </c>
      <c r="F101" s="312"/>
    </row>
    <row r="102" spans="1:14" x14ac:dyDescent="0.35">
      <c r="A102" s="157"/>
      <c r="B102" s="243"/>
      <c r="C102" s="342"/>
      <c r="D102" s="47">
        <f t="shared" si="0"/>
        <v>3</v>
      </c>
      <c r="E102" s="326" t="s">
        <v>224</v>
      </c>
      <c r="F102" s="312"/>
      <c r="H102" s="202"/>
      <c r="J102" s="202"/>
      <c r="K102" s="202"/>
      <c r="L102" s="202"/>
      <c r="M102" s="202"/>
      <c r="N102" s="202"/>
    </row>
    <row r="103" spans="1:14" x14ac:dyDescent="0.35">
      <c r="A103" s="157"/>
      <c r="B103" s="243"/>
      <c r="C103" s="242"/>
      <c r="D103" s="47">
        <f t="shared" si="0"/>
        <v>4</v>
      </c>
      <c r="E103" s="326" t="s">
        <v>231</v>
      </c>
      <c r="F103" s="312"/>
    </row>
    <row r="104" spans="1:14" x14ac:dyDescent="0.35">
      <c r="A104" s="157"/>
      <c r="B104" s="243"/>
      <c r="C104" s="242"/>
      <c r="D104" s="47">
        <f t="shared" si="0"/>
        <v>5</v>
      </c>
      <c r="E104" s="326" t="s">
        <v>241</v>
      </c>
      <c r="F104" s="312"/>
    </row>
    <row r="105" spans="1:14" x14ac:dyDescent="0.35">
      <c r="A105" s="157"/>
      <c r="B105" s="243"/>
      <c r="C105" s="242"/>
      <c r="D105" s="47">
        <f t="shared" si="0"/>
        <v>6</v>
      </c>
      <c r="E105" s="326" t="s">
        <v>269</v>
      </c>
      <c r="F105" s="312"/>
    </row>
    <row r="106" spans="1:14" x14ac:dyDescent="0.35">
      <c r="A106" s="157"/>
      <c r="B106" s="243"/>
      <c r="C106" s="242"/>
      <c r="D106" s="47">
        <f t="shared" si="0"/>
        <v>7</v>
      </c>
      <c r="E106" s="326" t="s">
        <v>317</v>
      </c>
      <c r="F106" s="312"/>
    </row>
    <row r="107" spans="1:14" x14ac:dyDescent="0.35">
      <c r="A107" s="157"/>
      <c r="B107" s="243"/>
      <c r="C107" s="242"/>
      <c r="D107" s="289">
        <v>8</v>
      </c>
      <c r="E107" s="290" t="s">
        <v>606</v>
      </c>
      <c r="F107" s="291"/>
    </row>
    <row r="108" spans="1:14" x14ac:dyDescent="0.35">
      <c r="A108" s="157"/>
      <c r="B108" s="243"/>
      <c r="C108" s="242"/>
      <c r="D108" s="47">
        <v>9</v>
      </c>
      <c r="E108" s="326" t="s">
        <v>315</v>
      </c>
      <c r="F108" s="312"/>
    </row>
    <row r="109" spans="1:14" ht="26" x14ac:dyDescent="0.35">
      <c r="A109" s="157"/>
      <c r="B109" s="243"/>
      <c r="C109" s="242"/>
      <c r="D109" s="289">
        <v>10</v>
      </c>
      <c r="E109" s="290" t="s">
        <v>607</v>
      </c>
      <c r="F109" s="291"/>
    </row>
    <row r="110" spans="1:14" x14ac:dyDescent="0.35">
      <c r="A110" s="157"/>
      <c r="B110" s="243"/>
      <c r="C110" s="242"/>
      <c r="D110" s="138">
        <v>-66</v>
      </c>
      <c r="E110" s="326" t="s">
        <v>9</v>
      </c>
      <c r="F110" s="312"/>
    </row>
    <row r="111" spans="1:14" x14ac:dyDescent="0.35">
      <c r="A111" s="157"/>
      <c r="B111" s="243"/>
      <c r="C111" s="242"/>
      <c r="D111" s="292">
        <v>-99</v>
      </c>
      <c r="E111" s="293" t="s">
        <v>6</v>
      </c>
      <c r="F111" s="290"/>
    </row>
    <row r="112" spans="1:14" x14ac:dyDescent="0.35">
      <c r="A112" s="157" t="s">
        <v>219</v>
      </c>
      <c r="B112" s="246">
        <f>B100+1</f>
        <v>24</v>
      </c>
      <c r="C112" s="245" t="s">
        <v>230</v>
      </c>
      <c r="D112" s="27">
        <v>1</v>
      </c>
      <c r="E112" s="8" t="s">
        <v>4</v>
      </c>
      <c r="F112" s="405" t="s">
        <v>110</v>
      </c>
      <c r="I112" s="172" t="s">
        <v>496</v>
      </c>
    </row>
    <row r="113" spans="1:14" x14ac:dyDescent="0.35">
      <c r="A113" s="157"/>
      <c r="B113" s="243"/>
      <c r="C113" s="242"/>
      <c r="D113" s="47">
        <v>2</v>
      </c>
      <c r="E113" s="9" t="s">
        <v>5</v>
      </c>
      <c r="F113" s="406"/>
      <c r="G113" s="52" t="s">
        <v>17</v>
      </c>
      <c r="H113" s="172" t="s">
        <v>322</v>
      </c>
      <c r="I113" s="172" t="s">
        <v>497</v>
      </c>
    </row>
    <row r="114" spans="1:14" ht="15.75" customHeight="1" x14ac:dyDescent="0.35">
      <c r="A114" s="157"/>
      <c r="B114" s="243"/>
      <c r="C114" s="242"/>
      <c r="D114" s="103">
        <v>-88</v>
      </c>
      <c r="E114" s="160" t="s">
        <v>7</v>
      </c>
      <c r="F114" s="406"/>
      <c r="H114" s="202"/>
      <c r="J114" s="202"/>
      <c r="K114" s="202"/>
      <c r="L114" s="202"/>
      <c r="M114" s="202"/>
      <c r="N114" s="202"/>
    </row>
    <row r="115" spans="1:14" x14ac:dyDescent="0.35">
      <c r="A115" s="157"/>
      <c r="B115" s="243"/>
      <c r="C115" s="242"/>
      <c r="D115" s="161">
        <v>-99</v>
      </c>
      <c r="E115" s="162" t="s">
        <v>6</v>
      </c>
      <c r="F115" s="406"/>
    </row>
    <row r="116" spans="1:14" x14ac:dyDescent="0.35">
      <c r="A116" s="156" t="s">
        <v>219</v>
      </c>
      <c r="B116" s="246">
        <f>B112</f>
        <v>24</v>
      </c>
      <c r="C116" s="323" t="s">
        <v>321</v>
      </c>
      <c r="D116" s="27">
        <v>1</v>
      </c>
      <c r="E116" s="325" t="s">
        <v>225</v>
      </c>
      <c r="F116" s="320"/>
      <c r="I116" s="172" t="s">
        <v>498</v>
      </c>
    </row>
    <row r="117" spans="1:14" x14ac:dyDescent="0.35">
      <c r="A117" s="157"/>
      <c r="B117" s="243"/>
      <c r="C117" s="342"/>
      <c r="D117" s="47">
        <f t="shared" ref="D117:D122" si="1">D116+1</f>
        <v>2</v>
      </c>
      <c r="E117" s="326" t="s">
        <v>268</v>
      </c>
      <c r="F117" s="312"/>
      <c r="H117" s="202"/>
      <c r="J117" s="202"/>
      <c r="K117" s="202"/>
      <c r="L117" s="202"/>
      <c r="M117" s="202"/>
      <c r="N117" s="202"/>
    </row>
    <row r="118" spans="1:14" x14ac:dyDescent="0.35">
      <c r="A118" s="157"/>
      <c r="B118" s="243"/>
      <c r="C118" s="342"/>
      <c r="D118" s="47">
        <f t="shared" si="1"/>
        <v>3</v>
      </c>
      <c r="E118" s="326" t="s">
        <v>224</v>
      </c>
      <c r="F118" s="312"/>
      <c r="H118" s="202"/>
      <c r="J118" s="202"/>
      <c r="K118" s="202"/>
      <c r="L118" s="202"/>
      <c r="M118" s="202"/>
      <c r="N118" s="202"/>
    </row>
    <row r="119" spans="1:14" x14ac:dyDescent="0.35">
      <c r="A119" s="157"/>
      <c r="B119" s="243"/>
      <c r="C119" s="342"/>
      <c r="D119" s="47">
        <f t="shared" si="1"/>
        <v>4</v>
      </c>
      <c r="E119" s="326" t="s">
        <v>231</v>
      </c>
      <c r="F119" s="312"/>
    </row>
    <row r="120" spans="1:14" x14ac:dyDescent="0.35">
      <c r="A120" s="157"/>
      <c r="B120" s="243"/>
      <c r="C120" s="242"/>
      <c r="D120" s="47">
        <f t="shared" si="1"/>
        <v>5</v>
      </c>
      <c r="E120" s="326" t="s">
        <v>241</v>
      </c>
      <c r="F120" s="312"/>
    </row>
    <row r="121" spans="1:14" x14ac:dyDescent="0.35">
      <c r="A121" s="157"/>
      <c r="B121" s="243"/>
      <c r="C121" s="242"/>
      <c r="D121" s="47">
        <f t="shared" si="1"/>
        <v>6</v>
      </c>
      <c r="E121" s="326" t="s">
        <v>269</v>
      </c>
      <c r="F121" s="312"/>
      <c r="H121" s="202"/>
      <c r="J121" s="202"/>
      <c r="K121" s="202"/>
      <c r="L121" s="202"/>
      <c r="M121" s="202"/>
      <c r="N121" s="202"/>
    </row>
    <row r="122" spans="1:14" ht="15" customHeight="1" x14ac:dyDescent="0.35">
      <c r="A122" s="157"/>
      <c r="B122" s="243"/>
      <c r="C122" s="242"/>
      <c r="D122" s="47">
        <f t="shared" si="1"/>
        <v>7</v>
      </c>
      <c r="E122" s="326" t="s">
        <v>317</v>
      </c>
      <c r="F122" s="312"/>
    </row>
    <row r="123" spans="1:14" x14ac:dyDescent="0.35">
      <c r="A123" s="157"/>
      <c r="B123" s="243"/>
      <c r="C123" s="242"/>
      <c r="D123" s="289">
        <v>8</v>
      </c>
      <c r="E123" s="290" t="s">
        <v>606</v>
      </c>
      <c r="F123" s="291"/>
    </row>
    <row r="124" spans="1:14" x14ac:dyDescent="0.35">
      <c r="A124" s="157"/>
      <c r="B124" s="243"/>
      <c r="C124" s="242"/>
      <c r="D124" s="47">
        <v>9</v>
      </c>
      <c r="E124" s="326" t="s">
        <v>315</v>
      </c>
      <c r="F124" s="312"/>
    </row>
    <row r="125" spans="1:14" ht="26" x14ac:dyDescent="0.35">
      <c r="A125" s="157"/>
      <c r="B125" s="243"/>
      <c r="C125" s="242"/>
      <c r="D125" s="289">
        <v>10</v>
      </c>
      <c r="E125" s="290" t="s">
        <v>607</v>
      </c>
      <c r="F125" s="291"/>
    </row>
    <row r="126" spans="1:14" x14ac:dyDescent="0.35">
      <c r="A126" s="157"/>
      <c r="B126" s="243"/>
      <c r="C126" s="242"/>
      <c r="D126" s="138">
        <v>-66</v>
      </c>
      <c r="E126" s="326" t="s">
        <v>9</v>
      </c>
      <c r="F126" s="312"/>
    </row>
    <row r="127" spans="1:14" x14ac:dyDescent="0.35">
      <c r="A127" s="157"/>
      <c r="B127" s="243"/>
      <c r="C127" s="190"/>
      <c r="D127" s="294">
        <v>-99</v>
      </c>
      <c r="E127" s="421" t="s">
        <v>6</v>
      </c>
      <c r="F127" s="422"/>
    </row>
    <row r="128" spans="1:14" x14ac:dyDescent="0.35">
      <c r="A128" s="144"/>
      <c r="B128" s="246">
        <f>B116</f>
        <v>24</v>
      </c>
      <c r="C128" s="320" t="s">
        <v>503</v>
      </c>
      <c r="D128" s="38">
        <v>1</v>
      </c>
      <c r="E128" s="419" t="s">
        <v>28</v>
      </c>
      <c r="F128" s="420"/>
      <c r="I128" s="172" t="s">
        <v>378</v>
      </c>
    </row>
    <row r="129" spans="1:14" x14ac:dyDescent="0.35">
      <c r="A129" s="136"/>
      <c r="B129" s="243"/>
      <c r="C129" s="312"/>
      <c r="D129" s="25">
        <f t="shared" ref="D129:D137" si="2">D128+1</f>
        <v>2</v>
      </c>
      <c r="E129" s="417" t="s">
        <v>29</v>
      </c>
      <c r="F129" s="418"/>
      <c r="H129" s="202"/>
      <c r="J129" s="202"/>
      <c r="K129" s="202"/>
      <c r="L129" s="202"/>
      <c r="M129" s="202"/>
      <c r="N129" s="202"/>
    </row>
    <row r="130" spans="1:14" x14ac:dyDescent="0.35">
      <c r="A130" s="136"/>
      <c r="B130" s="243"/>
      <c r="C130" s="312"/>
      <c r="D130" s="25">
        <f t="shared" si="2"/>
        <v>3</v>
      </c>
      <c r="E130" s="417" t="s">
        <v>30</v>
      </c>
      <c r="F130" s="418"/>
    </row>
    <row r="131" spans="1:14" x14ac:dyDescent="0.35">
      <c r="A131" s="136"/>
      <c r="B131" s="243"/>
      <c r="C131" s="312"/>
      <c r="D131" s="25">
        <f t="shared" si="2"/>
        <v>4</v>
      </c>
      <c r="E131" s="417" t="s">
        <v>31</v>
      </c>
      <c r="F131" s="418"/>
    </row>
    <row r="132" spans="1:14" x14ac:dyDescent="0.35">
      <c r="A132" s="136"/>
      <c r="B132" s="243"/>
      <c r="C132" s="312"/>
      <c r="D132" s="25">
        <f t="shared" si="2"/>
        <v>5</v>
      </c>
      <c r="E132" s="417" t="s">
        <v>32</v>
      </c>
      <c r="F132" s="418"/>
    </row>
    <row r="133" spans="1:14" ht="15" customHeight="1" x14ac:dyDescent="0.35">
      <c r="A133" s="136"/>
      <c r="B133" s="243"/>
      <c r="C133" s="312"/>
      <c r="D133" s="25">
        <f t="shared" si="2"/>
        <v>6</v>
      </c>
      <c r="E133" s="417" t="s">
        <v>33</v>
      </c>
      <c r="F133" s="418"/>
    </row>
    <row r="134" spans="1:14" ht="20.25" customHeight="1" x14ac:dyDescent="0.35">
      <c r="A134" s="136"/>
      <c r="B134" s="9"/>
      <c r="C134" s="416"/>
      <c r="D134" s="25">
        <f t="shared" si="2"/>
        <v>7</v>
      </c>
      <c r="E134" s="417" t="s">
        <v>34</v>
      </c>
      <c r="F134" s="418"/>
      <c r="G134" s="202"/>
      <c r="H134" s="202"/>
      <c r="J134" s="202"/>
      <c r="K134" s="202"/>
      <c r="L134" s="202"/>
      <c r="M134" s="202"/>
      <c r="N134" s="202"/>
    </row>
    <row r="135" spans="1:14" x14ac:dyDescent="0.35">
      <c r="A135" s="136"/>
      <c r="B135" s="9"/>
      <c r="C135" s="416"/>
      <c r="D135" s="25">
        <f t="shared" si="2"/>
        <v>8</v>
      </c>
      <c r="E135" s="417" t="s">
        <v>35</v>
      </c>
      <c r="F135" s="418"/>
    </row>
    <row r="136" spans="1:14" x14ac:dyDescent="0.35">
      <c r="A136" s="136"/>
      <c r="B136" s="9"/>
      <c r="C136" s="416"/>
      <c r="D136" s="25">
        <f t="shared" si="2"/>
        <v>9</v>
      </c>
      <c r="E136" s="417" t="s">
        <v>36</v>
      </c>
      <c r="F136" s="418"/>
    </row>
    <row r="137" spans="1:14" x14ac:dyDescent="0.35">
      <c r="A137" s="136"/>
      <c r="B137" s="9"/>
      <c r="C137" s="19"/>
      <c r="D137" s="25">
        <f t="shared" si="2"/>
        <v>10</v>
      </c>
      <c r="E137" s="417" t="s">
        <v>37</v>
      </c>
      <c r="F137" s="418"/>
      <c r="H137" s="202"/>
      <c r="J137" s="202"/>
      <c r="K137" s="202"/>
      <c r="L137" s="202"/>
      <c r="M137" s="202"/>
      <c r="N137" s="202"/>
    </row>
    <row r="138" spans="1:14" x14ac:dyDescent="0.35">
      <c r="A138" s="136"/>
      <c r="B138" s="9"/>
      <c r="C138" s="19"/>
      <c r="D138" s="25">
        <f>D137+1</f>
        <v>11</v>
      </c>
      <c r="E138" s="417" t="s">
        <v>38</v>
      </c>
      <c r="F138" s="418"/>
    </row>
    <row r="139" spans="1:14" x14ac:dyDescent="0.35">
      <c r="A139" s="136"/>
      <c r="B139" s="9"/>
      <c r="C139" s="19"/>
      <c r="D139" s="25">
        <v>12</v>
      </c>
      <c r="E139" s="412" t="s">
        <v>120</v>
      </c>
      <c r="F139" s="413"/>
    </row>
    <row r="140" spans="1:14" x14ac:dyDescent="0.35">
      <c r="A140" s="136"/>
      <c r="B140" s="9"/>
      <c r="C140" s="19"/>
      <c r="D140" s="25">
        <v>13</v>
      </c>
      <c r="E140" s="412" t="s">
        <v>121</v>
      </c>
      <c r="F140" s="413"/>
    </row>
    <row r="141" spans="1:14" x14ac:dyDescent="0.35">
      <c r="A141" s="136"/>
      <c r="B141" s="9"/>
      <c r="C141" s="19"/>
      <c r="D141" s="138">
        <v>-88</v>
      </c>
      <c r="E141" s="414" t="s">
        <v>7</v>
      </c>
      <c r="F141" s="415"/>
    </row>
    <row r="142" spans="1:14" x14ac:dyDescent="0.35">
      <c r="A142" s="157"/>
      <c r="B142" s="243"/>
      <c r="C142" s="242"/>
      <c r="D142" s="138">
        <v>-99</v>
      </c>
      <c r="E142" s="414" t="s">
        <v>6</v>
      </c>
      <c r="F142" s="415"/>
    </row>
    <row r="143" spans="1:14" ht="15" customHeight="1" x14ac:dyDescent="0.35">
      <c r="A143" s="156" t="s">
        <v>219</v>
      </c>
      <c r="B143" s="246">
        <f>B128+1</f>
        <v>25</v>
      </c>
      <c r="C143" s="323" t="s">
        <v>439</v>
      </c>
      <c r="D143" s="27">
        <v>1</v>
      </c>
      <c r="E143" s="8" t="s">
        <v>4</v>
      </c>
      <c r="F143" s="405" t="s">
        <v>110</v>
      </c>
      <c r="I143" s="172" t="s">
        <v>380</v>
      </c>
    </row>
    <row r="144" spans="1:14" x14ac:dyDescent="0.35">
      <c r="A144" s="157"/>
      <c r="B144" s="243"/>
      <c r="C144" s="342"/>
      <c r="D144" s="47">
        <v>2</v>
      </c>
      <c r="E144" s="9" t="s">
        <v>5</v>
      </c>
      <c r="F144" s="406"/>
    </row>
    <row r="145" spans="1:9" x14ac:dyDescent="0.35">
      <c r="A145" s="157"/>
      <c r="B145" s="243"/>
      <c r="C145" s="342"/>
      <c r="D145" s="103">
        <v>-88</v>
      </c>
      <c r="E145" s="160" t="s">
        <v>7</v>
      </c>
      <c r="F145" s="406"/>
    </row>
    <row r="146" spans="1:9" x14ac:dyDescent="0.35">
      <c r="A146" s="157"/>
      <c r="B146" s="243"/>
      <c r="C146" s="342"/>
      <c r="D146" s="218">
        <v>-99</v>
      </c>
      <c r="E146" s="21" t="s">
        <v>6</v>
      </c>
      <c r="F146" s="407"/>
    </row>
    <row r="147" spans="1:9" x14ac:dyDescent="0.35">
      <c r="A147" s="156" t="s">
        <v>219</v>
      </c>
      <c r="B147" s="246">
        <f>B143+1</f>
        <v>26</v>
      </c>
      <c r="C147" s="323" t="s">
        <v>270</v>
      </c>
      <c r="D147" s="27">
        <v>1</v>
      </c>
      <c r="E147" s="8" t="s">
        <v>4</v>
      </c>
      <c r="F147" s="405" t="s">
        <v>110</v>
      </c>
      <c r="I147" s="172" t="s">
        <v>379</v>
      </c>
    </row>
    <row r="148" spans="1:9" x14ac:dyDescent="0.35">
      <c r="A148" s="157"/>
      <c r="B148" s="243"/>
      <c r="C148" s="342"/>
      <c r="D148" s="47">
        <v>2</v>
      </c>
      <c r="E148" s="9" t="s">
        <v>5</v>
      </c>
      <c r="F148" s="406"/>
    </row>
    <row r="149" spans="1:9" x14ac:dyDescent="0.35">
      <c r="A149" s="157"/>
      <c r="B149" s="243"/>
      <c r="C149" s="342"/>
      <c r="D149" s="103">
        <v>-88</v>
      </c>
      <c r="E149" s="160" t="s">
        <v>7</v>
      </c>
      <c r="F149" s="406"/>
    </row>
    <row r="150" spans="1:9" x14ac:dyDescent="0.35">
      <c r="A150" s="157"/>
      <c r="B150" s="243"/>
      <c r="C150" s="342"/>
      <c r="D150" s="161">
        <v>-99</v>
      </c>
      <c r="E150" s="162" t="s">
        <v>6</v>
      </c>
      <c r="F150" s="406"/>
    </row>
    <row r="151" spans="1:9" x14ac:dyDescent="0.35">
      <c r="A151" s="156" t="s">
        <v>219</v>
      </c>
      <c r="B151" s="246">
        <f>B147+1</f>
        <v>27</v>
      </c>
      <c r="C151" s="323" t="s">
        <v>316</v>
      </c>
      <c r="D151" s="27">
        <v>1</v>
      </c>
      <c r="E151" s="8" t="s">
        <v>4</v>
      </c>
      <c r="F151" s="405" t="s">
        <v>110</v>
      </c>
      <c r="I151" s="172" t="s">
        <v>381</v>
      </c>
    </row>
    <row r="152" spans="1:9" x14ac:dyDescent="0.35">
      <c r="A152" s="157"/>
      <c r="B152" s="243"/>
      <c r="C152" s="342"/>
      <c r="D152" s="47">
        <v>2</v>
      </c>
      <c r="E152" s="9" t="s">
        <v>5</v>
      </c>
      <c r="F152" s="406"/>
    </row>
    <row r="153" spans="1:9" s="219" customFormat="1" x14ac:dyDescent="0.35">
      <c r="A153" s="157"/>
      <c r="B153" s="243"/>
      <c r="C153" s="342"/>
      <c r="D153" s="103">
        <v>-88</v>
      </c>
      <c r="E153" s="160" t="s">
        <v>7</v>
      </c>
      <c r="F153" s="406"/>
    </row>
    <row r="154" spans="1:9" x14ac:dyDescent="0.35">
      <c r="A154" s="208"/>
      <c r="B154" s="247"/>
      <c r="C154" s="324"/>
      <c r="D154" s="161">
        <v>-99</v>
      </c>
      <c r="E154" s="162" t="s">
        <v>6</v>
      </c>
      <c r="F154" s="407"/>
    </row>
    <row r="155" spans="1:9" x14ac:dyDescent="0.35">
      <c r="A155" s="209"/>
      <c r="B155" s="190"/>
      <c r="C155" s="190"/>
      <c r="D155" s="80"/>
      <c r="E155" s="80"/>
      <c r="F155" s="278"/>
    </row>
    <row r="157" spans="1:9" x14ac:dyDescent="0.35">
      <c r="A157" s="408" t="s">
        <v>556</v>
      </c>
      <c r="B157" s="409"/>
      <c r="C157" s="409"/>
      <c r="D157" s="409"/>
      <c r="E157" s="409"/>
      <c r="F157" s="409"/>
      <c r="G157" s="409"/>
      <c r="H157" s="410"/>
    </row>
    <row r="159" spans="1:9" x14ac:dyDescent="0.35">
      <c r="A159" s="159"/>
      <c r="B159" s="135"/>
      <c r="C159" s="109"/>
      <c r="D159" s="109"/>
      <c r="E159" s="109"/>
      <c r="F159" s="109"/>
    </row>
    <row r="160" spans="1:9" x14ac:dyDescent="0.35">
      <c r="A160" s="156" t="s">
        <v>219</v>
      </c>
      <c r="B160" s="246">
        <v>28</v>
      </c>
      <c r="C160" s="320" t="s">
        <v>557</v>
      </c>
      <c r="D160" s="27">
        <v>1</v>
      </c>
      <c r="E160" s="8" t="s">
        <v>4</v>
      </c>
      <c r="F160" s="51"/>
      <c r="I160" s="172" t="s">
        <v>382</v>
      </c>
    </row>
    <row r="161" spans="1:9" ht="15" thickBot="1" x14ac:dyDescent="0.4">
      <c r="A161" s="157"/>
      <c r="B161" s="243"/>
      <c r="C161" s="411"/>
      <c r="D161" s="47">
        <v>2</v>
      </c>
      <c r="E161" s="9" t="s">
        <v>5</v>
      </c>
      <c r="F161" s="243" t="s">
        <v>323</v>
      </c>
    </row>
    <row r="162" spans="1:9" ht="15" thickBot="1" x14ac:dyDescent="0.4">
      <c r="A162" s="157"/>
      <c r="B162" s="243"/>
      <c r="C162" s="158" t="s">
        <v>13</v>
      </c>
      <c r="D162" s="402" t="s">
        <v>111</v>
      </c>
      <c r="E162" s="403"/>
      <c r="F162" s="404"/>
      <c r="I162" s="172" t="s">
        <v>383</v>
      </c>
    </row>
    <row r="163" spans="1:9" ht="15" thickBot="1" x14ac:dyDescent="0.4">
      <c r="A163" s="157"/>
      <c r="B163" s="243"/>
      <c r="C163" s="158" t="s">
        <v>13</v>
      </c>
      <c r="D163" s="402" t="s">
        <v>111</v>
      </c>
      <c r="E163" s="403"/>
      <c r="F163" s="404"/>
      <c r="I163" s="172" t="s">
        <v>499</v>
      </c>
    </row>
    <row r="164" spans="1:9" ht="15" thickBot="1" x14ac:dyDescent="0.4">
      <c r="A164" s="157"/>
      <c r="B164" s="243"/>
      <c r="C164" s="158" t="s">
        <v>13</v>
      </c>
      <c r="D164" s="402" t="s">
        <v>111</v>
      </c>
      <c r="E164" s="403"/>
      <c r="F164" s="404"/>
    </row>
    <row r="165" spans="1:9" ht="15" thickBot="1" x14ac:dyDescent="0.4">
      <c r="A165" s="157"/>
      <c r="B165" s="243"/>
      <c r="C165" s="158" t="s">
        <v>13</v>
      </c>
      <c r="D165" s="402" t="s">
        <v>111</v>
      </c>
      <c r="E165" s="403"/>
      <c r="F165" s="404"/>
    </row>
    <row r="166" spans="1:9" ht="15" thickBot="1" x14ac:dyDescent="0.4">
      <c r="A166" s="157"/>
      <c r="B166" s="243"/>
      <c r="C166" s="158" t="s">
        <v>13</v>
      </c>
      <c r="D166" s="402" t="s">
        <v>111</v>
      </c>
      <c r="E166" s="403"/>
      <c r="F166" s="404"/>
    </row>
    <row r="167" spans="1:9" ht="15" thickBot="1" x14ac:dyDescent="0.4">
      <c r="A167" s="208"/>
      <c r="B167" s="247"/>
      <c r="C167" s="158" t="s">
        <v>13</v>
      </c>
      <c r="D167" s="402" t="s">
        <v>111</v>
      </c>
      <c r="E167" s="403"/>
      <c r="F167" s="404"/>
    </row>
  </sheetData>
  <mergeCells count="103">
    <mergeCell ref="A1:H1"/>
    <mergeCell ref="A2:B2"/>
    <mergeCell ref="D2:F2"/>
    <mergeCell ref="G2:H2"/>
    <mergeCell ref="D3:E3"/>
    <mergeCell ref="C4:C6"/>
    <mergeCell ref="F4:F7"/>
    <mergeCell ref="G18:H18"/>
    <mergeCell ref="C19:C22"/>
    <mergeCell ref="F19:F22"/>
    <mergeCell ref="G19:H26"/>
    <mergeCell ref="C23:C26"/>
    <mergeCell ref="F23:F26"/>
    <mergeCell ref="C8:C10"/>
    <mergeCell ref="F8:F11"/>
    <mergeCell ref="C12:C14"/>
    <mergeCell ref="F12:F15"/>
    <mergeCell ref="A17:F17"/>
    <mergeCell ref="C18:E18"/>
    <mergeCell ref="C43:C44"/>
    <mergeCell ref="F43:F47"/>
    <mergeCell ref="F48:F51"/>
    <mergeCell ref="C52:C53"/>
    <mergeCell ref="F52:F55"/>
    <mergeCell ref="F56:F59"/>
    <mergeCell ref="C27:C29"/>
    <mergeCell ref="F27:F30"/>
    <mergeCell ref="F31:F34"/>
    <mergeCell ref="C35:C37"/>
    <mergeCell ref="F35:F38"/>
    <mergeCell ref="C39:C40"/>
    <mergeCell ref="F39:F42"/>
    <mergeCell ref="C72:C73"/>
    <mergeCell ref="F72:F75"/>
    <mergeCell ref="C76:C77"/>
    <mergeCell ref="F76:F79"/>
    <mergeCell ref="C80:C81"/>
    <mergeCell ref="F80:F83"/>
    <mergeCell ref="C60:C63"/>
    <mergeCell ref="F60:F63"/>
    <mergeCell ref="C64:C66"/>
    <mergeCell ref="F64:F67"/>
    <mergeCell ref="C68:C71"/>
    <mergeCell ref="F68:F71"/>
    <mergeCell ref="C100:C102"/>
    <mergeCell ref="E100:F100"/>
    <mergeCell ref="E101:F101"/>
    <mergeCell ref="E102:F102"/>
    <mergeCell ref="E103:F103"/>
    <mergeCell ref="E104:F104"/>
    <mergeCell ref="F84:F87"/>
    <mergeCell ref="C88:C91"/>
    <mergeCell ref="F88:F91"/>
    <mergeCell ref="C92:C95"/>
    <mergeCell ref="F92:F95"/>
    <mergeCell ref="F96:F99"/>
    <mergeCell ref="E105:F105"/>
    <mergeCell ref="E106:F106"/>
    <mergeCell ref="E108:F108"/>
    <mergeCell ref="E110:F110"/>
    <mergeCell ref="F112:F115"/>
    <mergeCell ref="C116:C119"/>
    <mergeCell ref="E116:F116"/>
    <mergeCell ref="E117:F117"/>
    <mergeCell ref="E118:F118"/>
    <mergeCell ref="E119:F119"/>
    <mergeCell ref="C128:C133"/>
    <mergeCell ref="E128:F128"/>
    <mergeCell ref="E129:F129"/>
    <mergeCell ref="E130:F130"/>
    <mergeCell ref="E131:F131"/>
    <mergeCell ref="E132:F132"/>
    <mergeCell ref="E133:F133"/>
    <mergeCell ref="E120:F120"/>
    <mergeCell ref="E121:F121"/>
    <mergeCell ref="E122:F122"/>
    <mergeCell ref="E124:F124"/>
    <mergeCell ref="E126:F126"/>
    <mergeCell ref="E127:F127"/>
    <mergeCell ref="E139:F139"/>
    <mergeCell ref="E140:F140"/>
    <mergeCell ref="E141:F141"/>
    <mergeCell ref="E142:F142"/>
    <mergeCell ref="C143:C146"/>
    <mergeCell ref="F143:F146"/>
    <mergeCell ref="C134:C136"/>
    <mergeCell ref="E134:F134"/>
    <mergeCell ref="E135:F135"/>
    <mergeCell ref="E136:F136"/>
    <mergeCell ref="E137:F137"/>
    <mergeCell ref="E138:F138"/>
    <mergeCell ref="D162:F162"/>
    <mergeCell ref="D163:F163"/>
    <mergeCell ref="D164:F164"/>
    <mergeCell ref="D165:F165"/>
    <mergeCell ref="D166:F166"/>
    <mergeCell ref="D167:F167"/>
    <mergeCell ref="C147:C150"/>
    <mergeCell ref="F147:F150"/>
    <mergeCell ref="C151:C154"/>
    <mergeCell ref="F151:F154"/>
    <mergeCell ref="A157:H157"/>
    <mergeCell ref="C160:C161"/>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1"/>
  <sheetViews>
    <sheetView view="pageLayout" zoomScaleNormal="100" workbookViewId="0">
      <selection sqref="A1:G2"/>
    </sheetView>
  </sheetViews>
  <sheetFormatPr defaultColWidth="9.1796875" defaultRowHeight="14.5" x14ac:dyDescent="0.35"/>
  <cols>
    <col min="1" max="1" width="2.26953125" style="222" bestFit="1" customWidth="1"/>
    <col min="2" max="2" width="3" style="172" bestFit="1" customWidth="1"/>
    <col min="3" max="3" width="37.1796875" style="172" customWidth="1"/>
    <col min="4" max="4" width="9.1796875" style="172"/>
    <col min="5" max="5" width="18.453125" style="172" customWidth="1"/>
    <col min="6" max="6" width="2.54296875" style="172" customWidth="1"/>
    <col min="7" max="7" width="11.54296875" style="172" customWidth="1"/>
    <col min="8" max="8" width="4.1796875" style="223" hidden="1" customWidth="1"/>
    <col min="9" max="9" width="0" style="172" hidden="1" customWidth="1"/>
    <col min="10" max="16384" width="9.1796875" style="172"/>
  </cols>
  <sheetData>
    <row r="1" spans="1:13" x14ac:dyDescent="0.35">
      <c r="A1" s="388" t="s">
        <v>386</v>
      </c>
      <c r="B1" s="389"/>
      <c r="C1" s="389"/>
      <c r="D1" s="389"/>
      <c r="E1" s="389"/>
      <c r="F1" s="389"/>
      <c r="G1" s="435"/>
    </row>
    <row r="2" spans="1:13" ht="28.5" customHeight="1" x14ac:dyDescent="0.35">
      <c r="A2" s="390"/>
      <c r="B2" s="391"/>
      <c r="C2" s="391"/>
      <c r="D2" s="391"/>
      <c r="E2" s="391"/>
      <c r="F2" s="391"/>
      <c r="G2" s="436"/>
    </row>
    <row r="3" spans="1:13" ht="6.75" customHeight="1" x14ac:dyDescent="0.35"/>
    <row r="4" spans="1:13" x14ac:dyDescent="0.35">
      <c r="A4" s="437" t="s">
        <v>0</v>
      </c>
      <c r="B4" s="438"/>
      <c r="C4" s="92" t="s">
        <v>57</v>
      </c>
      <c r="D4" s="93"/>
      <c r="E4" s="263" t="s">
        <v>58</v>
      </c>
      <c r="F4" s="439" t="s">
        <v>59</v>
      </c>
      <c r="G4" s="437"/>
    </row>
    <row r="5" spans="1:13" x14ac:dyDescent="0.35">
      <c r="A5" s="338" t="s">
        <v>384</v>
      </c>
      <c r="B5" s="340">
        <v>4</v>
      </c>
      <c r="C5" s="323" t="s">
        <v>115</v>
      </c>
      <c r="D5" s="6">
        <v>1</v>
      </c>
      <c r="E5" s="250" t="s">
        <v>4</v>
      </c>
      <c r="F5" s="181"/>
      <c r="G5" s="260"/>
      <c r="H5" s="223" t="s">
        <v>467</v>
      </c>
      <c r="J5" s="94"/>
      <c r="K5" s="94"/>
      <c r="L5" s="94"/>
      <c r="M5" s="94"/>
    </row>
    <row r="6" spans="1:13" x14ac:dyDescent="0.35">
      <c r="A6" s="339"/>
      <c r="B6" s="341"/>
      <c r="C6" s="342"/>
      <c r="D6" s="10">
        <v>2</v>
      </c>
      <c r="E6" s="190" t="s">
        <v>5</v>
      </c>
      <c r="F6" s="75"/>
      <c r="G6" s="123"/>
      <c r="J6" s="94"/>
      <c r="K6" s="94"/>
      <c r="L6" s="94"/>
      <c r="M6" s="94"/>
    </row>
    <row r="7" spans="1:13" x14ac:dyDescent="0.35">
      <c r="A7" s="31"/>
      <c r="B7" s="9"/>
      <c r="C7" s="77"/>
      <c r="D7" s="10">
        <v>-88</v>
      </c>
      <c r="E7" s="190" t="s">
        <v>7</v>
      </c>
      <c r="F7" s="69"/>
      <c r="G7" s="123"/>
      <c r="J7" s="272"/>
      <c r="K7" s="272"/>
      <c r="L7" s="272"/>
      <c r="M7" s="272"/>
    </row>
    <row r="8" spans="1:13" x14ac:dyDescent="0.35">
      <c r="A8" s="32"/>
      <c r="B8" s="261"/>
      <c r="C8" s="78"/>
      <c r="D8" s="7">
        <v>-99</v>
      </c>
      <c r="E8" s="260" t="s">
        <v>20</v>
      </c>
      <c r="F8" s="71"/>
      <c r="G8" s="124"/>
      <c r="J8" s="94"/>
      <c r="K8" s="94"/>
      <c r="L8" s="94"/>
      <c r="M8" s="94"/>
    </row>
    <row r="9" spans="1:13" x14ac:dyDescent="0.35">
      <c r="A9" s="338" t="s">
        <v>384</v>
      </c>
      <c r="B9" s="340">
        <f>B24+1</f>
        <v>6</v>
      </c>
      <c r="C9" s="323" t="s">
        <v>271</v>
      </c>
      <c r="D9" s="6">
        <v>1</v>
      </c>
      <c r="E9" s="246" t="s">
        <v>4</v>
      </c>
      <c r="F9" s="68"/>
      <c r="G9" s="97"/>
      <c r="J9" s="94"/>
      <c r="K9" s="94"/>
      <c r="L9" s="94"/>
      <c r="M9" s="94"/>
    </row>
    <row r="10" spans="1:13" ht="41.25" customHeight="1" x14ac:dyDescent="0.35">
      <c r="A10" s="339"/>
      <c r="B10" s="341"/>
      <c r="C10" s="342"/>
      <c r="D10" s="10">
        <v>2</v>
      </c>
      <c r="E10" s="243" t="s">
        <v>5</v>
      </c>
      <c r="F10" s="75"/>
      <c r="G10" s="115"/>
      <c r="H10" s="223" t="s">
        <v>387</v>
      </c>
      <c r="J10" s="94"/>
      <c r="K10" s="94"/>
      <c r="L10" s="94"/>
      <c r="M10" s="94"/>
    </row>
    <row r="11" spans="1:13" ht="35.25" customHeight="1" x14ac:dyDescent="0.35">
      <c r="A11" s="31"/>
      <c r="B11" s="9"/>
      <c r="C11" s="342"/>
      <c r="D11" s="10">
        <v>-88</v>
      </c>
      <c r="E11" s="243" t="s">
        <v>7</v>
      </c>
      <c r="F11" s="70"/>
      <c r="G11" s="123"/>
      <c r="H11" s="223" t="s">
        <v>388</v>
      </c>
    </row>
    <row r="12" spans="1:13" ht="15" customHeight="1" x14ac:dyDescent="0.35">
      <c r="A12" s="32"/>
      <c r="B12" s="261"/>
      <c r="C12" s="324"/>
      <c r="D12" s="7">
        <v>-99</v>
      </c>
      <c r="E12" s="247" t="s">
        <v>20</v>
      </c>
      <c r="F12" s="91"/>
      <c r="G12" s="124"/>
      <c r="H12" s="223" t="s">
        <v>389</v>
      </c>
    </row>
    <row r="13" spans="1:13" ht="15" customHeight="1" x14ac:dyDescent="0.35">
      <c r="A13" s="338" t="s">
        <v>384</v>
      </c>
      <c r="B13" s="340">
        <v>7</v>
      </c>
      <c r="C13" s="323" t="s">
        <v>455</v>
      </c>
      <c r="D13" s="6">
        <v>1</v>
      </c>
      <c r="E13" s="250" t="s">
        <v>4</v>
      </c>
      <c r="F13" s="125" t="s">
        <v>159</v>
      </c>
      <c r="G13" s="97" t="s">
        <v>318</v>
      </c>
    </row>
    <row r="14" spans="1:13" ht="15" customHeight="1" x14ac:dyDescent="0.35">
      <c r="A14" s="339"/>
      <c r="B14" s="341"/>
      <c r="C14" s="342"/>
      <c r="D14" s="10"/>
      <c r="E14" s="190"/>
      <c r="F14" s="75"/>
      <c r="G14" s="123"/>
    </row>
    <row r="15" spans="1:13" ht="15" customHeight="1" x14ac:dyDescent="0.35">
      <c r="A15" s="339"/>
      <c r="B15" s="341"/>
      <c r="C15" s="342"/>
      <c r="D15" s="10">
        <v>2</v>
      </c>
      <c r="E15" s="190" t="s">
        <v>5</v>
      </c>
      <c r="F15" s="75"/>
      <c r="G15" s="123"/>
    </row>
    <row r="16" spans="1:13" x14ac:dyDescent="0.35">
      <c r="A16" s="31"/>
      <c r="B16" s="9"/>
      <c r="C16" s="342"/>
      <c r="D16" s="10">
        <v>-88</v>
      </c>
      <c r="E16" s="190" t="s">
        <v>7</v>
      </c>
      <c r="F16" s="69"/>
      <c r="G16" s="123"/>
      <c r="I16" s="172" t="s">
        <v>466</v>
      </c>
    </row>
    <row r="17" spans="1:13" ht="15" customHeight="1" x14ac:dyDescent="0.35">
      <c r="A17" s="32"/>
      <c r="B17" s="261"/>
      <c r="C17" s="324"/>
      <c r="D17" s="7">
        <v>-99</v>
      </c>
      <c r="E17" s="260" t="s">
        <v>20</v>
      </c>
      <c r="F17" s="71"/>
      <c r="G17" s="124"/>
    </row>
    <row r="18" spans="1:13" ht="48.75" customHeight="1" x14ac:dyDescent="0.35">
      <c r="A18" s="31" t="s">
        <v>384</v>
      </c>
      <c r="B18" s="4">
        <v>1</v>
      </c>
      <c r="C18" s="252" t="s">
        <v>385</v>
      </c>
      <c r="D18" s="444" t="s">
        <v>504</v>
      </c>
      <c r="E18" s="445"/>
      <c r="F18" s="126"/>
      <c r="G18" s="127"/>
    </row>
    <row r="19" spans="1:13" ht="31.5" customHeight="1" x14ac:dyDescent="0.35">
      <c r="A19" s="6" t="s">
        <v>384</v>
      </c>
      <c r="B19" s="264">
        <v>2</v>
      </c>
      <c r="C19" s="50" t="s">
        <v>301</v>
      </c>
      <c r="D19" s="444" t="s">
        <v>508</v>
      </c>
      <c r="E19" s="445"/>
      <c r="F19" s="442"/>
      <c r="G19" s="443"/>
    </row>
    <row r="20" spans="1:13" ht="15" customHeight="1" x14ac:dyDescent="0.35">
      <c r="A20" s="338" t="s">
        <v>384</v>
      </c>
      <c r="B20" s="340">
        <v>3</v>
      </c>
      <c r="C20" s="323" t="s">
        <v>456</v>
      </c>
      <c r="D20" s="6">
        <v>1</v>
      </c>
      <c r="E20" s="250" t="s">
        <v>505</v>
      </c>
      <c r="F20" s="181"/>
      <c r="G20" s="224"/>
      <c r="H20" s="223" t="s">
        <v>390</v>
      </c>
    </row>
    <row r="21" spans="1:13" ht="15" customHeight="1" x14ac:dyDescent="0.35">
      <c r="A21" s="339"/>
      <c r="B21" s="341"/>
      <c r="C21" s="342"/>
      <c r="D21" s="10">
        <v>2</v>
      </c>
      <c r="E21" s="190" t="s">
        <v>506</v>
      </c>
      <c r="F21" s="75" t="s">
        <v>159</v>
      </c>
      <c r="G21" s="123" t="s">
        <v>457</v>
      </c>
    </row>
    <row r="22" spans="1:13" ht="15" customHeight="1" x14ac:dyDescent="0.35">
      <c r="A22" s="31"/>
      <c r="B22" s="9"/>
      <c r="C22" s="342"/>
      <c r="D22" s="10">
        <v>-88</v>
      </c>
      <c r="E22" s="190" t="s">
        <v>7</v>
      </c>
      <c r="F22" s="69"/>
      <c r="G22" s="123"/>
    </row>
    <row r="23" spans="1:13" ht="24" customHeight="1" x14ac:dyDescent="0.35">
      <c r="A23" s="32"/>
      <c r="B23" s="261"/>
      <c r="C23" s="324"/>
      <c r="D23" s="7">
        <v>-99</v>
      </c>
      <c r="E23" s="260" t="s">
        <v>20</v>
      </c>
      <c r="F23" s="71"/>
      <c r="G23" s="124"/>
    </row>
    <row r="24" spans="1:13" ht="33" customHeight="1" x14ac:dyDescent="0.35">
      <c r="A24" s="338" t="s">
        <v>384</v>
      </c>
      <c r="B24" s="340">
        <f>B5+1</f>
        <v>5</v>
      </c>
      <c r="C24" s="323" t="s">
        <v>552</v>
      </c>
      <c r="D24" s="6">
        <v>1</v>
      </c>
      <c r="E24" s="250" t="s">
        <v>4</v>
      </c>
      <c r="F24" s="67"/>
      <c r="G24" s="97"/>
      <c r="H24" s="223" t="s">
        <v>391</v>
      </c>
    </row>
    <row r="25" spans="1:13" ht="33" customHeight="1" x14ac:dyDescent="0.35">
      <c r="A25" s="339"/>
      <c r="B25" s="341"/>
      <c r="C25" s="342"/>
      <c r="D25" s="10">
        <v>2</v>
      </c>
      <c r="E25" s="190" t="s">
        <v>5</v>
      </c>
      <c r="F25" s="75"/>
      <c r="G25" s="115"/>
    </row>
    <row r="26" spans="1:13" ht="33" customHeight="1" x14ac:dyDescent="0.35">
      <c r="A26" s="31"/>
      <c r="B26" s="9"/>
      <c r="C26" s="342"/>
      <c r="D26" s="10">
        <v>-88</v>
      </c>
      <c r="E26" s="190" t="s">
        <v>7</v>
      </c>
      <c r="F26" s="69"/>
      <c r="G26" s="123"/>
      <c r="J26" s="94"/>
      <c r="K26" s="94"/>
      <c r="L26" s="94"/>
      <c r="M26" s="94"/>
    </row>
    <row r="27" spans="1:13" ht="23.25" customHeight="1" x14ac:dyDescent="0.35">
      <c r="A27" s="32"/>
      <c r="B27" s="261"/>
      <c r="C27" s="324"/>
      <c r="D27" s="7">
        <v>-99</v>
      </c>
      <c r="E27" s="260" t="s">
        <v>20</v>
      </c>
      <c r="F27" s="71"/>
      <c r="G27" s="124"/>
      <c r="J27" s="94"/>
      <c r="K27" s="94"/>
      <c r="L27" s="94"/>
      <c r="M27" s="94"/>
    </row>
    <row r="28" spans="1:13" ht="15" customHeight="1" x14ac:dyDescent="0.35">
      <c r="A28" s="338" t="s">
        <v>384</v>
      </c>
      <c r="B28" s="340">
        <v>11</v>
      </c>
      <c r="C28" s="323" t="s">
        <v>392</v>
      </c>
      <c r="D28" s="6">
        <v>1</v>
      </c>
      <c r="E28" s="246" t="s">
        <v>4</v>
      </c>
      <c r="F28" s="70"/>
      <c r="G28" s="123"/>
      <c r="H28" s="225" t="s">
        <v>468</v>
      </c>
    </row>
    <row r="29" spans="1:13" x14ac:dyDescent="0.35">
      <c r="A29" s="339"/>
      <c r="B29" s="341"/>
      <c r="C29" s="342"/>
      <c r="D29" s="10">
        <v>2</v>
      </c>
      <c r="E29" s="243" t="s">
        <v>5</v>
      </c>
      <c r="F29" s="75"/>
      <c r="G29" s="115"/>
    </row>
    <row r="30" spans="1:13" x14ac:dyDescent="0.35">
      <c r="A30" s="31"/>
      <c r="B30" s="9"/>
      <c r="C30" s="77"/>
      <c r="D30" s="10">
        <v>-88</v>
      </c>
      <c r="E30" s="243" t="s">
        <v>7</v>
      </c>
      <c r="F30" s="70"/>
      <c r="G30" s="123"/>
    </row>
    <row r="31" spans="1:13" ht="15" customHeight="1" x14ac:dyDescent="0.35">
      <c r="A31" s="32"/>
      <c r="B31" s="261"/>
      <c r="C31" s="78"/>
      <c r="D31" s="7">
        <v>-99</v>
      </c>
      <c r="E31" s="247" t="s">
        <v>20</v>
      </c>
      <c r="F31" s="91"/>
      <c r="G31" s="124"/>
    </row>
    <row r="32" spans="1:13" ht="36.75" customHeight="1" x14ac:dyDescent="0.35">
      <c r="A32" s="116" t="s">
        <v>384</v>
      </c>
      <c r="B32" s="15">
        <v>12</v>
      </c>
      <c r="C32" s="14" t="s">
        <v>536</v>
      </c>
      <c r="D32" s="440" t="s">
        <v>507</v>
      </c>
      <c r="E32" s="441"/>
      <c r="F32" s="171"/>
      <c r="G32" s="127"/>
      <c r="H32" s="223" t="s">
        <v>469</v>
      </c>
    </row>
    <row r="34" ht="45" customHeight="1" x14ac:dyDescent="0.35"/>
    <row r="41" ht="21.75" customHeight="1" x14ac:dyDescent="0.35"/>
  </sheetData>
  <mergeCells count="25">
    <mergeCell ref="B9:B10"/>
    <mergeCell ref="C20:C23"/>
    <mergeCell ref="D19:E19"/>
    <mergeCell ref="A20:A21"/>
    <mergeCell ref="B20:B21"/>
    <mergeCell ref="D18:E18"/>
    <mergeCell ref="A13:A15"/>
    <mergeCell ref="B13:B15"/>
    <mergeCell ref="C13:C17"/>
    <mergeCell ref="C9:C12"/>
    <mergeCell ref="A9:A10"/>
    <mergeCell ref="D32:E32"/>
    <mergeCell ref="A28:A29"/>
    <mergeCell ref="B28:B29"/>
    <mergeCell ref="C28:C29"/>
    <mergeCell ref="F19:G19"/>
    <mergeCell ref="A24:A25"/>
    <mergeCell ref="B24:B25"/>
    <mergeCell ref="C24:C27"/>
    <mergeCell ref="A1:G2"/>
    <mergeCell ref="A4:B4"/>
    <mergeCell ref="F4:G4"/>
    <mergeCell ref="A5:A6"/>
    <mergeCell ref="B5:B6"/>
    <mergeCell ref="C5:C6"/>
  </mergeCells>
  <pageMargins left="0.7" right="0.7" top="0.75" bottom="0.75" header="0.3" footer="0.3"/>
  <pageSetup orientation="portrait" r:id="rId1"/>
  <headerFooter>
    <oddHeader>&amp;C&amp;"-,Bold"G. INCOME</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8"/>
  <sheetViews>
    <sheetView view="pageLayout" topLeftCell="A2" zoomScaleNormal="100" workbookViewId="0">
      <selection activeCell="A2" sqref="A2:G2"/>
    </sheetView>
  </sheetViews>
  <sheetFormatPr defaultColWidth="9.1796875" defaultRowHeight="14.5" x14ac:dyDescent="0.35"/>
  <cols>
    <col min="1" max="1" width="2.54296875" style="4" bestFit="1" customWidth="1"/>
    <col min="2" max="2" width="3.1796875" style="4" bestFit="1" customWidth="1"/>
    <col min="3" max="3" width="41.453125" style="4" customWidth="1"/>
    <col min="4" max="4" width="4.1796875" style="277" customWidth="1"/>
    <col min="5" max="5" width="18.453125" style="276" customWidth="1"/>
    <col min="6" max="6" width="3.81640625" style="4" customWidth="1"/>
    <col min="7" max="7" width="8.54296875" style="4" customWidth="1"/>
    <col min="8" max="8" width="0" style="4" hidden="1" customWidth="1"/>
    <col min="9" max="16384" width="9.1796875" style="4"/>
  </cols>
  <sheetData>
    <row r="1" spans="1:8" ht="17.5" x14ac:dyDescent="0.35">
      <c r="C1" s="448" t="s">
        <v>509</v>
      </c>
      <c r="D1" s="449"/>
      <c r="E1" s="276" t="s">
        <v>541</v>
      </c>
    </row>
    <row r="2" spans="1:8" ht="42" customHeight="1" x14ac:dyDescent="0.35">
      <c r="A2" s="446" t="s">
        <v>605</v>
      </c>
      <c r="B2" s="446"/>
      <c r="C2" s="446"/>
      <c r="D2" s="446"/>
      <c r="E2" s="446"/>
      <c r="F2" s="446"/>
      <c r="G2" s="447"/>
    </row>
    <row r="3" spans="1:8" ht="10.5" customHeight="1" x14ac:dyDescent="0.35">
      <c r="E3" s="278"/>
      <c r="F3" s="180"/>
      <c r="G3" s="180"/>
    </row>
    <row r="4" spans="1:8" ht="24.75" customHeight="1" x14ac:dyDescent="0.35">
      <c r="A4" s="450" t="s">
        <v>196</v>
      </c>
      <c r="B4" s="451"/>
      <c r="C4" s="259" t="s">
        <v>197</v>
      </c>
      <c r="D4" s="452" t="s">
        <v>213</v>
      </c>
      <c r="E4" s="452"/>
      <c r="F4" s="455" t="s">
        <v>198</v>
      </c>
      <c r="G4" s="455"/>
      <c r="H4" s="230"/>
    </row>
    <row r="5" spans="1:8" ht="13" x14ac:dyDescent="0.35">
      <c r="A5" s="457" t="s">
        <v>54</v>
      </c>
      <c r="B5" s="320">
        <v>1</v>
      </c>
      <c r="C5" s="323" t="s">
        <v>112</v>
      </c>
      <c r="D5" s="101">
        <v>1</v>
      </c>
      <c r="E5" s="250" t="s">
        <v>4</v>
      </c>
      <c r="F5" s="144"/>
      <c r="G5" s="8"/>
      <c r="H5" s="4" t="s">
        <v>412</v>
      </c>
    </row>
    <row r="6" spans="1:8" ht="13" x14ac:dyDescent="0.35">
      <c r="A6" s="458"/>
      <c r="B6" s="312"/>
      <c r="C6" s="342"/>
      <c r="D6" s="102">
        <v>2</v>
      </c>
      <c r="E6" s="190" t="s">
        <v>5</v>
      </c>
      <c r="F6" s="73" t="s">
        <v>159</v>
      </c>
      <c r="G6" s="115" t="s">
        <v>510</v>
      </c>
      <c r="H6" s="4" t="s">
        <v>413</v>
      </c>
    </row>
    <row r="7" spans="1:8" ht="13" x14ac:dyDescent="0.35">
      <c r="A7" s="458"/>
      <c r="B7" s="312"/>
      <c r="C7" s="342"/>
      <c r="D7" s="102">
        <v>-88</v>
      </c>
      <c r="E7" s="190" t="s">
        <v>7</v>
      </c>
      <c r="F7" s="136"/>
      <c r="G7" s="9"/>
    </row>
    <row r="8" spans="1:8" ht="13" x14ac:dyDescent="0.35">
      <c r="A8" s="458"/>
      <c r="B8" s="312"/>
      <c r="C8" s="324"/>
      <c r="D8" s="130">
        <v>-99</v>
      </c>
      <c r="E8" s="260" t="s">
        <v>20</v>
      </c>
      <c r="F8" s="136"/>
      <c r="G8" s="9"/>
    </row>
    <row r="9" spans="1:8" ht="44.25" customHeight="1" x14ac:dyDescent="0.35">
      <c r="A9" s="458"/>
      <c r="B9" s="312"/>
      <c r="C9" s="252" t="s">
        <v>406</v>
      </c>
      <c r="D9" s="453" t="s">
        <v>48</v>
      </c>
      <c r="E9" s="454"/>
      <c r="F9" s="136"/>
      <c r="G9" s="9"/>
    </row>
    <row r="10" spans="1:8" ht="13" hidden="1" x14ac:dyDescent="0.35">
      <c r="A10" s="69"/>
      <c r="B10" s="243"/>
      <c r="C10" s="279"/>
      <c r="D10" s="280"/>
      <c r="E10" s="281"/>
      <c r="F10" s="136"/>
      <c r="G10" s="9"/>
    </row>
    <row r="11" spans="1:8" ht="13" hidden="1" x14ac:dyDescent="0.35">
      <c r="A11" s="69"/>
      <c r="B11" s="243"/>
      <c r="C11" s="279"/>
      <c r="D11" s="282"/>
      <c r="E11" s="281"/>
      <c r="F11" s="136"/>
      <c r="G11" s="9"/>
    </row>
    <row r="12" spans="1:8" ht="13" hidden="1" x14ac:dyDescent="0.35">
      <c r="A12" s="69"/>
      <c r="B12" s="243"/>
      <c r="C12" s="279"/>
      <c r="D12" s="283"/>
      <c r="E12" s="281"/>
      <c r="F12" s="136"/>
      <c r="G12" s="9"/>
    </row>
    <row r="13" spans="1:8" ht="13" x14ac:dyDescent="0.35">
      <c r="A13" s="69"/>
      <c r="B13" s="243"/>
      <c r="C13" s="323" t="s">
        <v>404</v>
      </c>
      <c r="D13" s="101">
        <v>1</v>
      </c>
      <c r="E13" s="248" t="s">
        <v>401</v>
      </c>
      <c r="F13" s="326" t="s">
        <v>400</v>
      </c>
      <c r="G13" s="312"/>
      <c r="H13" s="4" t="s">
        <v>414</v>
      </c>
    </row>
    <row r="14" spans="1:8" ht="13" x14ac:dyDescent="0.35">
      <c r="A14" s="69"/>
      <c r="B14" s="243"/>
      <c r="C14" s="342"/>
      <c r="D14" s="102">
        <f>D13+1</f>
        <v>2</v>
      </c>
      <c r="E14" s="252" t="s">
        <v>402</v>
      </c>
      <c r="F14" s="326"/>
      <c r="G14" s="312"/>
    </row>
    <row r="15" spans="1:8" ht="13" x14ac:dyDescent="0.35">
      <c r="A15" s="69"/>
      <c r="B15" s="243"/>
      <c r="C15" s="342"/>
      <c r="D15" s="102">
        <f>D14+1</f>
        <v>3</v>
      </c>
      <c r="E15" s="252" t="s">
        <v>537</v>
      </c>
      <c r="G15" s="9"/>
    </row>
    <row r="16" spans="1:8" ht="13" x14ac:dyDescent="0.35">
      <c r="A16" s="69"/>
      <c r="B16" s="243"/>
      <c r="C16" s="342"/>
      <c r="D16" s="102">
        <f>D15+1</f>
        <v>4</v>
      </c>
      <c r="E16" s="252" t="s">
        <v>324</v>
      </c>
      <c r="G16" s="9"/>
    </row>
    <row r="17" spans="1:8" ht="13" x14ac:dyDescent="0.35">
      <c r="A17" s="69"/>
      <c r="B17" s="243"/>
      <c r="C17" s="252"/>
      <c r="D17" s="102">
        <f>D16+1</f>
        <v>5</v>
      </c>
      <c r="E17" s="252" t="s">
        <v>564</v>
      </c>
      <c r="G17" s="9"/>
    </row>
    <row r="18" spans="1:8" ht="13" x14ac:dyDescent="0.35">
      <c r="A18" s="69"/>
      <c r="B18" s="243"/>
      <c r="C18" s="19"/>
      <c r="D18" s="102">
        <v>-88</v>
      </c>
      <c r="E18" s="252" t="s">
        <v>7</v>
      </c>
      <c r="G18" s="9"/>
    </row>
    <row r="19" spans="1:8" ht="13" x14ac:dyDescent="0.35">
      <c r="A19" s="69"/>
      <c r="B19" s="243"/>
      <c r="C19" s="174"/>
      <c r="D19" s="102">
        <v>-99</v>
      </c>
      <c r="E19" s="249" t="s">
        <v>20</v>
      </c>
      <c r="G19" s="9"/>
    </row>
    <row r="20" spans="1:8" ht="36.75" customHeight="1" thickBot="1" x14ac:dyDescent="0.4">
      <c r="A20" s="126"/>
      <c r="B20" s="256"/>
      <c r="C20" s="255" t="s">
        <v>405</v>
      </c>
      <c r="D20" s="345" t="s">
        <v>48</v>
      </c>
      <c r="E20" s="456"/>
      <c r="F20" s="311" t="s">
        <v>400</v>
      </c>
      <c r="G20" s="312"/>
      <c r="H20" s="4" t="s">
        <v>415</v>
      </c>
    </row>
    <row r="21" spans="1:8" ht="13" x14ac:dyDescent="0.35">
      <c r="A21" s="457" t="s">
        <v>54</v>
      </c>
      <c r="B21" s="459">
        <f>B5+1</f>
        <v>2</v>
      </c>
      <c r="C21" s="323" t="s">
        <v>113</v>
      </c>
      <c r="D21" s="101">
        <v>1</v>
      </c>
      <c r="E21" s="250" t="s">
        <v>4</v>
      </c>
      <c r="F21" s="59"/>
      <c r="G21" s="56"/>
      <c r="H21" s="4" t="s">
        <v>416</v>
      </c>
    </row>
    <row r="22" spans="1:8" ht="13" x14ac:dyDescent="0.35">
      <c r="A22" s="458"/>
      <c r="B22" s="312"/>
      <c r="C22" s="342"/>
      <c r="D22" s="102">
        <v>2</v>
      </c>
      <c r="E22" s="190" t="s">
        <v>5</v>
      </c>
      <c r="F22" s="73" t="s">
        <v>159</v>
      </c>
      <c r="G22" s="115" t="s">
        <v>511</v>
      </c>
    </row>
    <row r="23" spans="1:8" ht="13" x14ac:dyDescent="0.35">
      <c r="A23" s="458"/>
      <c r="B23" s="312"/>
      <c r="C23" s="342"/>
      <c r="D23" s="102">
        <v>-88</v>
      </c>
      <c r="E23" s="190" t="s">
        <v>7</v>
      </c>
      <c r="F23" s="136"/>
      <c r="G23" s="9"/>
    </row>
    <row r="24" spans="1:8" ht="13" x14ac:dyDescent="0.35">
      <c r="A24" s="458"/>
      <c r="B24" s="312"/>
      <c r="C24" s="324"/>
      <c r="D24" s="130">
        <v>-99</v>
      </c>
      <c r="E24" s="260" t="s">
        <v>20</v>
      </c>
      <c r="F24" s="136"/>
      <c r="G24" s="9"/>
    </row>
    <row r="25" spans="1:8" ht="13" x14ac:dyDescent="0.35">
      <c r="A25" s="458"/>
      <c r="B25" s="312"/>
      <c r="C25" s="323" t="s">
        <v>514</v>
      </c>
      <c r="D25" s="101">
        <v>1</v>
      </c>
      <c r="E25" s="250" t="s">
        <v>4</v>
      </c>
      <c r="F25" s="73" t="s">
        <v>159</v>
      </c>
      <c r="G25" s="115" t="s">
        <v>511</v>
      </c>
      <c r="H25" s="4" t="s">
        <v>417</v>
      </c>
    </row>
    <row r="26" spans="1:8" ht="13" x14ac:dyDescent="0.35">
      <c r="A26" s="458"/>
      <c r="B26" s="312"/>
      <c r="C26" s="342"/>
      <c r="D26" s="102">
        <v>2</v>
      </c>
      <c r="E26" s="190" t="s">
        <v>5</v>
      </c>
      <c r="F26" s="136"/>
      <c r="G26" s="9"/>
    </row>
    <row r="27" spans="1:8" ht="13" x14ac:dyDescent="0.35">
      <c r="A27" s="458"/>
      <c r="B27" s="312"/>
      <c r="C27" s="342"/>
      <c r="D27" s="102">
        <v>-88</v>
      </c>
      <c r="E27" s="190" t="s">
        <v>7</v>
      </c>
      <c r="F27" s="136"/>
      <c r="G27" s="9"/>
    </row>
    <row r="28" spans="1:8" ht="13" x14ac:dyDescent="0.35">
      <c r="A28" s="458"/>
      <c r="B28" s="312"/>
      <c r="D28" s="102">
        <v>-99</v>
      </c>
      <c r="E28" s="190" t="s">
        <v>20</v>
      </c>
      <c r="F28" s="136"/>
      <c r="G28" s="9"/>
    </row>
    <row r="29" spans="1:8" ht="38.25" customHeight="1" x14ac:dyDescent="0.35">
      <c r="A29" s="126"/>
      <c r="B29" s="175"/>
      <c r="C29" s="14" t="s">
        <v>407</v>
      </c>
      <c r="D29" s="345" t="s">
        <v>48</v>
      </c>
      <c r="E29" s="460"/>
      <c r="F29" s="145"/>
      <c r="G29" s="9"/>
      <c r="H29" s="4" t="s">
        <v>418</v>
      </c>
    </row>
    <row r="30" spans="1:8" ht="13" x14ac:dyDescent="0.35">
      <c r="A30" s="458" t="s">
        <v>54</v>
      </c>
      <c r="B30" s="312">
        <v>3</v>
      </c>
      <c r="C30" s="342" t="s">
        <v>114</v>
      </c>
      <c r="D30" s="128">
        <v>1</v>
      </c>
      <c r="E30" s="131" t="s">
        <v>4</v>
      </c>
      <c r="F30" s="136"/>
      <c r="G30" s="9"/>
      <c r="H30" s="4" t="s">
        <v>419</v>
      </c>
    </row>
    <row r="31" spans="1:8" ht="13" x14ac:dyDescent="0.35">
      <c r="A31" s="458"/>
      <c r="B31" s="312"/>
      <c r="C31" s="342"/>
      <c r="D31" s="128">
        <v>2</v>
      </c>
      <c r="E31" s="131" t="s">
        <v>5</v>
      </c>
      <c r="F31" s="73" t="s">
        <v>159</v>
      </c>
      <c r="G31" s="115" t="s">
        <v>512</v>
      </c>
    </row>
    <row r="32" spans="1:8" ht="13" x14ac:dyDescent="0.35">
      <c r="A32" s="458"/>
      <c r="B32" s="312"/>
      <c r="C32" s="342"/>
      <c r="D32" s="128">
        <v>-88</v>
      </c>
      <c r="E32" s="131" t="s">
        <v>7</v>
      </c>
      <c r="F32" s="136"/>
      <c r="G32" s="9"/>
    </row>
    <row r="33" spans="1:8" ht="13" x14ac:dyDescent="0.35">
      <c r="A33" s="458"/>
      <c r="B33" s="312"/>
      <c r="C33" s="324"/>
      <c r="D33" s="129">
        <v>-99</v>
      </c>
      <c r="E33" s="132" t="s">
        <v>20</v>
      </c>
      <c r="F33" s="136"/>
      <c r="G33" s="9"/>
    </row>
    <row r="34" spans="1:8" ht="13" x14ac:dyDescent="0.35">
      <c r="A34" s="458"/>
      <c r="B34" s="312"/>
      <c r="C34" s="248" t="s">
        <v>515</v>
      </c>
      <c r="D34" s="83">
        <v>1</v>
      </c>
      <c r="E34" s="133" t="s">
        <v>4</v>
      </c>
      <c r="F34" s="73" t="s">
        <v>159</v>
      </c>
      <c r="G34" s="115" t="s">
        <v>512</v>
      </c>
      <c r="H34" s="4" t="s">
        <v>420</v>
      </c>
    </row>
    <row r="35" spans="1:8" ht="13" x14ac:dyDescent="0.35">
      <c r="A35" s="458"/>
      <c r="B35" s="312"/>
      <c r="C35" s="252"/>
      <c r="D35" s="128">
        <v>2</v>
      </c>
      <c r="E35" s="131" t="s">
        <v>5</v>
      </c>
      <c r="F35" s="136"/>
      <c r="G35" s="9"/>
    </row>
    <row r="36" spans="1:8" ht="13" x14ac:dyDescent="0.35">
      <c r="A36" s="458"/>
      <c r="B36" s="312"/>
      <c r="C36" s="252"/>
      <c r="D36" s="128">
        <v>-88</v>
      </c>
      <c r="E36" s="131" t="s">
        <v>7</v>
      </c>
      <c r="F36" s="136"/>
      <c r="G36" s="9"/>
    </row>
    <row r="37" spans="1:8" ht="13" x14ac:dyDescent="0.35">
      <c r="A37" s="458"/>
      <c r="B37" s="312"/>
      <c r="C37" s="34"/>
      <c r="D37" s="128">
        <v>-99</v>
      </c>
      <c r="E37" s="131" t="s">
        <v>20</v>
      </c>
      <c r="F37" s="136"/>
      <c r="G37" s="9"/>
    </row>
    <row r="38" spans="1:8" ht="44.25" customHeight="1" x14ac:dyDescent="0.35">
      <c r="A38" s="126"/>
      <c r="B38" s="175"/>
      <c r="C38" s="14" t="s">
        <v>516</v>
      </c>
      <c r="D38" s="460" t="s">
        <v>48</v>
      </c>
      <c r="E38" s="460"/>
      <c r="F38" s="145"/>
      <c r="G38" s="146"/>
      <c r="H38" s="4" t="s">
        <v>421</v>
      </c>
    </row>
    <row r="39" spans="1:8" ht="40.5" customHeight="1" x14ac:dyDescent="0.35">
      <c r="A39" s="136" t="s">
        <v>54</v>
      </c>
      <c r="B39" s="190">
        <f>B30+1</f>
        <v>4</v>
      </c>
      <c r="C39" s="14" t="s">
        <v>408</v>
      </c>
      <c r="D39" s="454" t="s">
        <v>48</v>
      </c>
      <c r="E39" s="464"/>
      <c r="F39" s="136"/>
      <c r="G39" s="9"/>
      <c r="H39" s="4" t="s">
        <v>422</v>
      </c>
    </row>
    <row r="40" spans="1:8" ht="42" customHeight="1" x14ac:dyDescent="0.35">
      <c r="A40" s="145" t="s">
        <v>54</v>
      </c>
      <c r="B40" s="176">
        <f t="shared" ref="B40:B50" si="0">B39+1</f>
        <v>5</v>
      </c>
      <c r="C40" s="14" t="s">
        <v>409</v>
      </c>
      <c r="D40" s="460" t="s">
        <v>48</v>
      </c>
      <c r="E40" s="460"/>
      <c r="F40" s="145"/>
      <c r="G40" s="146"/>
      <c r="H40" s="4" t="s">
        <v>423</v>
      </c>
    </row>
    <row r="41" spans="1:8" ht="41.25" customHeight="1" thickBot="1" x14ac:dyDescent="0.4">
      <c r="A41" s="136" t="s">
        <v>54</v>
      </c>
      <c r="B41" s="190">
        <f t="shared" si="0"/>
        <v>6</v>
      </c>
      <c r="C41" s="14" t="s">
        <v>246</v>
      </c>
      <c r="D41" s="454" t="s">
        <v>48</v>
      </c>
      <c r="E41" s="454"/>
      <c r="F41" s="136"/>
      <c r="G41" s="9"/>
      <c r="H41" s="4" t="s">
        <v>424</v>
      </c>
    </row>
    <row r="42" spans="1:8" ht="32.25" customHeight="1" thickBot="1" x14ac:dyDescent="0.4">
      <c r="A42" s="144" t="s">
        <v>54</v>
      </c>
      <c r="B42" s="269">
        <f t="shared" si="0"/>
        <v>7</v>
      </c>
      <c r="C42" s="14" t="s">
        <v>16</v>
      </c>
      <c r="D42" s="462" t="s">
        <v>48</v>
      </c>
      <c r="E42" s="462"/>
      <c r="F42" s="136"/>
      <c r="G42" s="9"/>
      <c r="H42" s="4" t="s">
        <v>425</v>
      </c>
    </row>
    <row r="43" spans="1:8" ht="53.25" customHeight="1" thickBot="1" x14ac:dyDescent="0.4">
      <c r="A43" s="144" t="s">
        <v>54</v>
      </c>
      <c r="B43" s="269">
        <f t="shared" si="0"/>
        <v>8</v>
      </c>
      <c r="C43" s="14" t="s">
        <v>403</v>
      </c>
      <c r="D43" s="462" t="s">
        <v>48</v>
      </c>
      <c r="E43" s="462"/>
      <c r="F43" s="136"/>
      <c r="G43" s="9"/>
      <c r="H43" s="4" t="s">
        <v>426</v>
      </c>
    </row>
    <row r="44" spans="1:8" ht="34.5" customHeight="1" thickBot="1" x14ac:dyDescent="0.4">
      <c r="A44" s="144" t="s">
        <v>54</v>
      </c>
      <c r="B44" s="269">
        <f t="shared" si="0"/>
        <v>9</v>
      </c>
      <c r="C44" s="177" t="s">
        <v>272</v>
      </c>
      <c r="D44" s="462" t="s">
        <v>48</v>
      </c>
      <c r="E44" s="462"/>
      <c r="F44" s="136"/>
      <c r="G44" s="9"/>
      <c r="H44" s="4" t="s">
        <v>427</v>
      </c>
    </row>
    <row r="45" spans="1:8" ht="37.5" customHeight="1" x14ac:dyDescent="0.35">
      <c r="A45" s="144" t="s">
        <v>54</v>
      </c>
      <c r="B45" s="269">
        <f t="shared" si="0"/>
        <v>10</v>
      </c>
      <c r="C45" s="14" t="s">
        <v>538</v>
      </c>
      <c r="D45" s="462" t="s">
        <v>48</v>
      </c>
      <c r="E45" s="462"/>
      <c r="F45" s="136"/>
      <c r="G45" s="9"/>
      <c r="H45" s="4" t="s">
        <v>428</v>
      </c>
    </row>
    <row r="46" spans="1:8" ht="41.25" customHeight="1" x14ac:dyDescent="0.35">
      <c r="A46" s="145" t="s">
        <v>54</v>
      </c>
      <c r="B46" s="175">
        <f t="shared" si="0"/>
        <v>11</v>
      </c>
      <c r="C46" s="177" t="s">
        <v>517</v>
      </c>
      <c r="D46" s="460" t="s">
        <v>48</v>
      </c>
      <c r="E46" s="460"/>
      <c r="F46" s="136"/>
      <c r="G46" s="9"/>
      <c r="H46" s="4" t="s">
        <v>429</v>
      </c>
    </row>
    <row r="47" spans="1:8" ht="39" customHeight="1" thickBot="1" x14ac:dyDescent="0.4">
      <c r="A47" s="136" t="s">
        <v>54</v>
      </c>
      <c r="B47" s="190">
        <f t="shared" si="0"/>
        <v>12</v>
      </c>
      <c r="C47" s="14" t="s">
        <v>116</v>
      </c>
      <c r="D47" s="454" t="s">
        <v>48</v>
      </c>
      <c r="E47" s="454"/>
      <c r="F47" s="136"/>
      <c r="G47" s="9"/>
      <c r="H47" s="4" t="s">
        <v>430</v>
      </c>
    </row>
    <row r="48" spans="1:8" ht="42" customHeight="1" thickBot="1" x14ac:dyDescent="0.4">
      <c r="A48" s="144" t="s">
        <v>54</v>
      </c>
      <c r="B48" s="269">
        <f t="shared" si="0"/>
        <v>13</v>
      </c>
      <c r="C48" s="14" t="s">
        <v>170</v>
      </c>
      <c r="D48" s="462" t="s">
        <v>48</v>
      </c>
      <c r="E48" s="462"/>
      <c r="F48" s="136"/>
      <c r="G48" s="9"/>
      <c r="H48" s="4" t="s">
        <v>431</v>
      </c>
    </row>
    <row r="49" spans="1:8" ht="38.25" customHeight="1" thickBot="1" x14ac:dyDescent="0.4">
      <c r="A49" s="144" t="s">
        <v>54</v>
      </c>
      <c r="B49" s="269">
        <f t="shared" si="0"/>
        <v>14</v>
      </c>
      <c r="C49" s="14" t="s">
        <v>273</v>
      </c>
      <c r="D49" s="462" t="s">
        <v>48</v>
      </c>
      <c r="E49" s="462"/>
      <c r="F49" s="136"/>
      <c r="G49" s="9"/>
      <c r="H49" s="4" t="s">
        <v>432</v>
      </c>
    </row>
    <row r="50" spans="1:8" ht="13" x14ac:dyDescent="0.35">
      <c r="A50" s="144" t="s">
        <v>54</v>
      </c>
      <c r="B50" s="461">
        <f t="shared" si="0"/>
        <v>15</v>
      </c>
      <c r="C50" s="463" t="s">
        <v>539</v>
      </c>
      <c r="D50" s="173">
        <v>1</v>
      </c>
      <c r="E50" s="133" t="s">
        <v>4</v>
      </c>
      <c r="F50" s="136"/>
      <c r="G50" s="9"/>
      <c r="H50" s="4" t="s">
        <v>436</v>
      </c>
    </row>
    <row r="51" spans="1:8" ht="13" x14ac:dyDescent="0.35">
      <c r="A51" s="136"/>
      <c r="B51" s="326"/>
      <c r="C51" s="463"/>
      <c r="D51" s="119">
        <v>2</v>
      </c>
      <c r="E51" s="131" t="s">
        <v>5</v>
      </c>
      <c r="F51" s="73" t="s">
        <v>159</v>
      </c>
      <c r="G51" s="134" t="s">
        <v>513</v>
      </c>
    </row>
    <row r="52" spans="1:8" ht="13" x14ac:dyDescent="0.35">
      <c r="A52" s="136"/>
      <c r="B52" s="326"/>
      <c r="C52" s="463"/>
      <c r="D52" s="119">
        <v>-88</v>
      </c>
      <c r="E52" s="131" t="s">
        <v>7</v>
      </c>
      <c r="F52" s="136"/>
      <c r="G52" s="9"/>
    </row>
    <row r="53" spans="1:8" ht="13" x14ac:dyDescent="0.35">
      <c r="A53" s="136"/>
      <c r="B53" s="326"/>
      <c r="C53" s="463"/>
      <c r="D53" s="119">
        <v>-99</v>
      </c>
      <c r="E53" s="131" t="s">
        <v>20</v>
      </c>
      <c r="F53" s="136"/>
      <c r="G53" s="9"/>
    </row>
    <row r="54" spans="1:8" ht="41.25" customHeight="1" x14ac:dyDescent="0.35">
      <c r="A54" s="144" t="s">
        <v>54</v>
      </c>
      <c r="B54" s="250">
        <f>B50</f>
        <v>15</v>
      </c>
      <c r="C54" s="14" t="s">
        <v>232</v>
      </c>
      <c r="D54" s="462"/>
      <c r="E54" s="462"/>
      <c r="F54" s="136"/>
      <c r="G54" s="9"/>
      <c r="H54" s="4" t="s">
        <v>435</v>
      </c>
    </row>
    <row r="55" spans="1:8" ht="28.5" customHeight="1" x14ac:dyDescent="0.35">
      <c r="A55" s="136" t="s">
        <v>54</v>
      </c>
      <c r="B55" s="190">
        <f>B50</f>
        <v>15</v>
      </c>
      <c r="C55" s="14" t="s">
        <v>233</v>
      </c>
      <c r="D55" s="462" t="s">
        <v>48</v>
      </c>
      <c r="E55" s="462"/>
      <c r="F55" s="136"/>
      <c r="G55" s="9"/>
      <c r="H55" s="4" t="s">
        <v>434</v>
      </c>
    </row>
    <row r="56" spans="1:8" ht="13" x14ac:dyDescent="0.35">
      <c r="A56" s="144" t="s">
        <v>54</v>
      </c>
      <c r="B56" s="250">
        <f>B55</f>
        <v>15</v>
      </c>
      <c r="C56" s="14" t="s">
        <v>234</v>
      </c>
      <c r="D56" s="462"/>
      <c r="E56" s="462"/>
      <c r="F56" s="136"/>
      <c r="G56" s="9"/>
      <c r="H56" s="4" t="s">
        <v>433</v>
      </c>
    </row>
    <row r="57" spans="1:8" s="172" customFormat="1" ht="36" customHeight="1" x14ac:dyDescent="0.35">
      <c r="A57" s="116" t="s">
        <v>54</v>
      </c>
      <c r="B57" s="66">
        <v>16</v>
      </c>
      <c r="C57" s="14" t="s">
        <v>410</v>
      </c>
      <c r="D57" s="460" t="s">
        <v>110</v>
      </c>
      <c r="E57" s="460"/>
      <c r="F57" s="126"/>
      <c r="G57" s="127"/>
      <c r="H57" s="4" t="s">
        <v>437</v>
      </c>
    </row>
    <row r="58" spans="1:8" s="172" customFormat="1" ht="58.5" customHeight="1" x14ac:dyDescent="0.35">
      <c r="A58" s="116" t="s">
        <v>54</v>
      </c>
      <c r="B58" s="66">
        <f>B57+1</f>
        <v>17</v>
      </c>
      <c r="C58" s="14" t="s">
        <v>411</v>
      </c>
      <c r="D58" s="460" t="s">
        <v>110</v>
      </c>
      <c r="E58" s="460"/>
      <c r="F58" s="126"/>
      <c r="G58" s="127"/>
      <c r="H58" s="4" t="s">
        <v>438</v>
      </c>
    </row>
  </sheetData>
  <mergeCells count="40">
    <mergeCell ref="D57:E57"/>
    <mergeCell ref="D58:E58"/>
    <mergeCell ref="D54:E54"/>
    <mergeCell ref="D55:E55"/>
    <mergeCell ref="D46:E46"/>
    <mergeCell ref="D47:E47"/>
    <mergeCell ref="D48:E48"/>
    <mergeCell ref="D56:E56"/>
    <mergeCell ref="B50:B53"/>
    <mergeCell ref="D49:E49"/>
    <mergeCell ref="D45:E45"/>
    <mergeCell ref="C50:C53"/>
    <mergeCell ref="D39:E39"/>
    <mergeCell ref="D42:E42"/>
    <mergeCell ref="D40:E40"/>
    <mergeCell ref="D41:E41"/>
    <mergeCell ref="D44:E44"/>
    <mergeCell ref="D43:E43"/>
    <mergeCell ref="D29:E29"/>
    <mergeCell ref="A30:A37"/>
    <mergeCell ref="B30:B37"/>
    <mergeCell ref="C30:C33"/>
    <mergeCell ref="D38:E38"/>
    <mergeCell ref="A21:A28"/>
    <mergeCell ref="B21:B28"/>
    <mergeCell ref="C21:C24"/>
    <mergeCell ref="A5:A9"/>
    <mergeCell ref="B5:B9"/>
    <mergeCell ref="C5:C8"/>
    <mergeCell ref="C25:C27"/>
    <mergeCell ref="C13:C16"/>
    <mergeCell ref="F13:G14"/>
    <mergeCell ref="F20:G20"/>
    <mergeCell ref="A2:G2"/>
    <mergeCell ref="C1:D1"/>
    <mergeCell ref="A4:B4"/>
    <mergeCell ref="D4:E4"/>
    <mergeCell ref="D9:E9"/>
    <mergeCell ref="F4:G4"/>
    <mergeCell ref="D20:E20"/>
  </mergeCells>
  <pageMargins left="0.7" right="0.7" top="0.75" bottom="0.75" header="0.3" footer="0.3"/>
  <pageSetup orientation="portrait" r:id="rId1"/>
  <headerFooter>
    <oddHeader>&amp;LE. Business Expenditure&amp;Rfrom Women mean business midline 2</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3"/>
  <sheetViews>
    <sheetView view="pageLayout" topLeftCell="B1" zoomScaleNormal="80" workbookViewId="0">
      <selection activeCell="B3" sqref="B3:F3"/>
    </sheetView>
  </sheetViews>
  <sheetFormatPr defaultColWidth="9.1796875" defaultRowHeight="14.5" x14ac:dyDescent="0.35"/>
  <cols>
    <col min="1" max="1" width="0" style="172" hidden="1" customWidth="1"/>
    <col min="2" max="2" width="4.7265625" style="172" customWidth="1"/>
    <col min="3" max="3" width="13.1796875" style="172" customWidth="1"/>
    <col min="4" max="4" width="24.26953125" style="172" customWidth="1"/>
    <col min="5" max="5" width="36.81640625" style="172" customWidth="1"/>
    <col min="6" max="6" width="29.453125" style="172" customWidth="1"/>
    <col min="7" max="7" width="5" style="172" bestFit="1" customWidth="1"/>
    <col min="8" max="8" width="58.1796875" style="172" bestFit="1" customWidth="1"/>
    <col min="9" max="16384" width="9.1796875" style="172"/>
  </cols>
  <sheetData>
    <row r="1" spans="2:7" ht="15" customHeight="1" x14ac:dyDescent="0.35">
      <c r="B1" s="465" t="s">
        <v>542</v>
      </c>
      <c r="C1" s="465"/>
      <c r="D1" s="465"/>
      <c r="E1" s="465"/>
      <c r="F1" s="465"/>
      <c r="G1" s="226"/>
    </row>
    <row r="2" spans="2:7" ht="9.75" customHeight="1" x14ac:dyDescent="0.35">
      <c r="B2" s="79"/>
      <c r="C2" s="79"/>
      <c r="D2" s="79"/>
      <c r="E2" s="79"/>
      <c r="F2" s="79"/>
      <c r="G2" s="80"/>
    </row>
    <row r="3" spans="2:7" ht="105.75" customHeight="1" x14ac:dyDescent="0.35">
      <c r="B3" s="466" t="s">
        <v>569</v>
      </c>
      <c r="C3" s="467"/>
      <c r="D3" s="467"/>
      <c r="E3" s="467"/>
      <c r="F3" s="467"/>
      <c r="G3" s="81"/>
    </row>
    <row r="4" spans="2:7" ht="18" customHeight="1" x14ac:dyDescent="0.35">
      <c r="B4" s="166" t="s">
        <v>172</v>
      </c>
      <c r="C4" s="475" t="s">
        <v>173</v>
      </c>
      <c r="D4" s="475"/>
      <c r="E4" s="475"/>
      <c r="F4" s="476"/>
    </row>
    <row r="5" spans="2:7" x14ac:dyDescent="0.35">
      <c r="B5" s="167" t="s">
        <v>52</v>
      </c>
      <c r="C5" s="473" t="s">
        <v>174</v>
      </c>
      <c r="D5" s="473"/>
      <c r="E5" s="473"/>
      <c r="F5" s="474"/>
    </row>
    <row r="6" spans="2:7" ht="15.75" customHeight="1" x14ac:dyDescent="0.35">
      <c r="B6" s="167" t="s">
        <v>53</v>
      </c>
      <c r="C6" s="473" t="s">
        <v>325</v>
      </c>
      <c r="D6" s="473"/>
      <c r="E6" s="473"/>
      <c r="F6" s="474"/>
    </row>
    <row r="7" spans="2:7" x14ac:dyDescent="0.35">
      <c r="B7" s="167" t="s">
        <v>175</v>
      </c>
      <c r="C7" s="473" t="s">
        <v>176</v>
      </c>
      <c r="D7" s="473"/>
      <c r="E7" s="473"/>
      <c r="F7" s="474"/>
    </row>
    <row r="8" spans="2:7" x14ac:dyDescent="0.35">
      <c r="B8" s="167" t="s">
        <v>54</v>
      </c>
      <c r="C8" s="473" t="s">
        <v>177</v>
      </c>
      <c r="D8" s="473"/>
      <c r="E8" s="473"/>
      <c r="F8" s="474"/>
    </row>
    <row r="9" spans="2:7" x14ac:dyDescent="0.35">
      <c r="B9" s="167" t="s">
        <v>178</v>
      </c>
      <c r="C9" s="473" t="s">
        <v>326</v>
      </c>
      <c r="D9" s="473"/>
      <c r="E9" s="473"/>
      <c r="F9" s="474"/>
    </row>
    <row r="10" spans="2:7" x14ac:dyDescent="0.35">
      <c r="B10" s="167" t="s">
        <v>56</v>
      </c>
      <c r="C10" s="473" t="s">
        <v>179</v>
      </c>
      <c r="D10" s="473"/>
      <c r="E10" s="473"/>
      <c r="F10" s="474"/>
    </row>
    <row r="11" spans="2:7" x14ac:dyDescent="0.35">
      <c r="B11" s="167" t="s">
        <v>180</v>
      </c>
      <c r="C11" s="473" t="s">
        <v>181</v>
      </c>
      <c r="D11" s="473"/>
      <c r="E11" s="473"/>
      <c r="F11" s="474"/>
    </row>
    <row r="12" spans="2:7" ht="17.25" customHeight="1" x14ac:dyDescent="0.35">
      <c r="B12" s="167" t="s">
        <v>222</v>
      </c>
      <c r="C12" s="473" t="s">
        <v>574</v>
      </c>
      <c r="D12" s="473"/>
      <c r="E12" s="473"/>
      <c r="F12" s="474"/>
    </row>
    <row r="13" spans="2:7" x14ac:dyDescent="0.35">
      <c r="B13" s="167" t="s">
        <v>223</v>
      </c>
      <c r="C13" s="473" t="s">
        <v>328</v>
      </c>
      <c r="D13" s="473"/>
      <c r="E13" s="473"/>
      <c r="F13" s="474"/>
    </row>
    <row r="14" spans="2:7" ht="15.75" customHeight="1" x14ac:dyDescent="0.35">
      <c r="B14" s="167" t="s">
        <v>393</v>
      </c>
      <c r="C14" s="473" t="s">
        <v>330</v>
      </c>
      <c r="D14" s="473"/>
      <c r="E14" s="473"/>
      <c r="F14" s="474"/>
    </row>
    <row r="15" spans="2:7" ht="15" customHeight="1" x14ac:dyDescent="0.35">
      <c r="B15" s="167" t="s">
        <v>327</v>
      </c>
      <c r="C15" s="473" t="s">
        <v>575</v>
      </c>
      <c r="D15" s="473"/>
      <c r="E15" s="473"/>
      <c r="F15" s="474"/>
    </row>
    <row r="16" spans="2:7" ht="15.75" customHeight="1" x14ac:dyDescent="0.35">
      <c r="B16" s="167" t="s">
        <v>329</v>
      </c>
      <c r="C16" s="473" t="s">
        <v>333</v>
      </c>
      <c r="D16" s="473"/>
      <c r="E16" s="473"/>
      <c r="F16" s="474"/>
    </row>
    <row r="17" spans="1:6" ht="17.25" customHeight="1" x14ac:dyDescent="0.35">
      <c r="B17" s="167" t="s">
        <v>331</v>
      </c>
      <c r="C17" s="473" t="s">
        <v>334</v>
      </c>
      <c r="D17" s="473"/>
      <c r="E17" s="473"/>
      <c r="F17" s="474"/>
    </row>
    <row r="18" spans="1:6" ht="15" customHeight="1" x14ac:dyDescent="0.35">
      <c r="B18" s="167" t="s">
        <v>332</v>
      </c>
      <c r="C18" s="473" t="s">
        <v>335</v>
      </c>
      <c r="D18" s="473"/>
      <c r="E18" s="473"/>
      <c r="F18" s="474"/>
    </row>
    <row r="19" spans="1:6" ht="15" customHeight="1" x14ac:dyDescent="0.35">
      <c r="B19" s="167" t="s">
        <v>530</v>
      </c>
      <c r="C19" s="473" t="s">
        <v>343</v>
      </c>
      <c r="D19" s="473"/>
      <c r="E19" s="473"/>
      <c r="F19" s="474"/>
    </row>
    <row r="20" spans="1:6" ht="15" customHeight="1" x14ac:dyDescent="0.35">
      <c r="B20" s="167" t="s">
        <v>337</v>
      </c>
      <c r="C20" s="473" t="s">
        <v>531</v>
      </c>
      <c r="D20" s="473"/>
      <c r="E20" s="473"/>
      <c r="F20" s="474"/>
    </row>
    <row r="21" spans="1:6" ht="15" customHeight="1" x14ac:dyDescent="0.35">
      <c r="B21" s="167" t="s">
        <v>338</v>
      </c>
      <c r="C21" s="473" t="s">
        <v>214</v>
      </c>
      <c r="D21" s="473"/>
      <c r="E21" s="473"/>
      <c r="F21" s="474"/>
    </row>
    <row r="22" spans="1:6" ht="15" customHeight="1" x14ac:dyDescent="0.35">
      <c r="B22" s="167" t="s">
        <v>339</v>
      </c>
      <c r="C22" s="473" t="s">
        <v>221</v>
      </c>
      <c r="D22" s="473"/>
      <c r="E22" s="473"/>
      <c r="F22" s="474"/>
    </row>
    <row r="23" spans="1:6" ht="15" customHeight="1" x14ac:dyDescent="0.35">
      <c r="B23" s="167" t="s">
        <v>341</v>
      </c>
      <c r="C23" s="473" t="s">
        <v>340</v>
      </c>
      <c r="D23" s="473"/>
      <c r="E23" s="473"/>
      <c r="F23" s="474"/>
    </row>
    <row r="24" spans="1:6" ht="15" customHeight="1" x14ac:dyDescent="0.35">
      <c r="B24" s="167" t="s">
        <v>342</v>
      </c>
      <c r="C24" s="473" t="s">
        <v>336</v>
      </c>
      <c r="D24" s="473"/>
      <c r="E24" s="473"/>
      <c r="F24" s="474"/>
    </row>
    <row r="25" spans="1:6" ht="19.5" customHeight="1" x14ac:dyDescent="0.35">
      <c r="B25" s="168" t="s">
        <v>490</v>
      </c>
      <c r="C25" s="169" t="s">
        <v>491</v>
      </c>
      <c r="D25" s="169"/>
      <c r="E25" s="169"/>
      <c r="F25" s="170"/>
    </row>
    <row r="26" spans="1:6" x14ac:dyDescent="0.35">
      <c r="B26" s="470" t="s">
        <v>547</v>
      </c>
      <c r="C26" s="470"/>
      <c r="D26" s="470"/>
      <c r="E26" s="470"/>
      <c r="F26" s="470"/>
    </row>
    <row r="27" spans="1:6" ht="17.25" customHeight="1" x14ac:dyDescent="0.35">
      <c r="B27" s="469" t="s">
        <v>543</v>
      </c>
      <c r="C27" s="469"/>
      <c r="D27" s="179" t="s">
        <v>544</v>
      </c>
      <c r="E27" s="179" t="s">
        <v>545</v>
      </c>
      <c r="F27" s="83" t="s">
        <v>546</v>
      </c>
    </row>
    <row r="28" spans="1:6" ht="22.5" customHeight="1" x14ac:dyDescent="0.35">
      <c r="B28" s="471" t="s">
        <v>526</v>
      </c>
      <c r="C28" s="471"/>
      <c r="D28" s="311" t="s">
        <v>527</v>
      </c>
      <c r="E28" s="342" t="s">
        <v>528</v>
      </c>
      <c r="F28" s="342" t="s">
        <v>529</v>
      </c>
    </row>
    <row r="29" spans="1:6" ht="125.25" customHeight="1" x14ac:dyDescent="0.35">
      <c r="B29" s="472"/>
      <c r="C29" s="472"/>
      <c r="D29" s="321"/>
      <c r="E29" s="324"/>
      <c r="F29" s="324"/>
    </row>
    <row r="30" spans="1:6" ht="102.75" customHeight="1" x14ac:dyDescent="0.35">
      <c r="B30" s="468"/>
      <c r="C30" s="468"/>
      <c r="D30" s="84" t="s">
        <v>274</v>
      </c>
      <c r="E30" s="84" t="s">
        <v>182</v>
      </c>
      <c r="F30" s="85" t="s">
        <v>183</v>
      </c>
    </row>
    <row r="31" spans="1:6" ht="22" customHeight="1" x14ac:dyDescent="0.35">
      <c r="A31" s="86" t="s">
        <v>184</v>
      </c>
      <c r="B31" s="178" t="s">
        <v>185</v>
      </c>
      <c r="C31" s="87"/>
      <c r="D31" s="87"/>
      <c r="E31" s="88" t="s">
        <v>186</v>
      </c>
      <c r="F31" s="88"/>
    </row>
    <row r="32" spans="1:6" ht="22" customHeight="1" x14ac:dyDescent="0.35">
      <c r="A32" s="86" t="s">
        <v>184</v>
      </c>
      <c r="B32" s="178" t="s">
        <v>187</v>
      </c>
      <c r="C32" s="87"/>
      <c r="D32" s="87"/>
      <c r="E32" s="88" t="s">
        <v>186</v>
      </c>
      <c r="F32" s="88"/>
    </row>
    <row r="33" spans="1:11" ht="22" customHeight="1" x14ac:dyDescent="0.35">
      <c r="A33" s="86" t="s">
        <v>184</v>
      </c>
      <c r="B33" s="178" t="s">
        <v>188</v>
      </c>
      <c r="C33" s="87"/>
      <c r="D33" s="87"/>
      <c r="E33" s="88" t="s">
        <v>186</v>
      </c>
      <c r="F33" s="88"/>
    </row>
    <row r="34" spans="1:11" ht="22" customHeight="1" x14ac:dyDescent="0.35">
      <c r="A34" s="86" t="s">
        <v>184</v>
      </c>
      <c r="B34" s="178" t="s">
        <v>189</v>
      </c>
      <c r="C34" s="87"/>
      <c r="D34" s="87"/>
      <c r="E34" s="88" t="s">
        <v>186</v>
      </c>
      <c r="F34" s="88"/>
      <c r="I34" s="82"/>
      <c r="J34" s="82"/>
      <c r="K34" s="82"/>
    </row>
    <row r="35" spans="1:11" ht="22" customHeight="1" x14ac:dyDescent="0.35">
      <c r="A35" s="86" t="s">
        <v>184</v>
      </c>
      <c r="B35" s="178" t="s">
        <v>190</v>
      </c>
      <c r="C35" s="87"/>
      <c r="D35" s="87"/>
      <c r="E35" s="88" t="s">
        <v>186</v>
      </c>
      <c r="F35" s="88"/>
      <c r="I35" s="82"/>
      <c r="J35" s="82"/>
      <c r="K35" s="82"/>
    </row>
    <row r="36" spans="1:11" ht="22" customHeight="1" x14ac:dyDescent="0.35">
      <c r="A36" s="86" t="s">
        <v>184</v>
      </c>
      <c r="B36" s="178" t="s">
        <v>191</v>
      </c>
      <c r="C36" s="87"/>
      <c r="D36" s="87"/>
      <c r="E36" s="88" t="s">
        <v>186</v>
      </c>
      <c r="F36" s="88"/>
      <c r="I36" s="82"/>
      <c r="J36" s="82"/>
      <c r="K36" s="82"/>
    </row>
    <row r="37" spans="1:11" ht="22" customHeight="1" x14ac:dyDescent="0.35">
      <c r="A37" s="86" t="s">
        <v>184</v>
      </c>
      <c r="B37" s="178" t="s">
        <v>192</v>
      </c>
      <c r="C37" s="87"/>
      <c r="D37" s="87"/>
      <c r="E37" s="88" t="s">
        <v>186</v>
      </c>
      <c r="F37" s="88"/>
      <c r="I37" s="82"/>
      <c r="J37" s="82"/>
      <c r="K37" s="82"/>
    </row>
    <row r="38" spans="1:11" ht="22" customHeight="1" x14ac:dyDescent="0.35">
      <c r="A38" s="86" t="s">
        <v>184</v>
      </c>
      <c r="B38" s="178" t="s">
        <v>193</v>
      </c>
      <c r="C38" s="87"/>
      <c r="D38" s="87"/>
      <c r="E38" s="88" t="s">
        <v>186</v>
      </c>
      <c r="F38" s="88"/>
      <c r="I38" s="82"/>
      <c r="J38" s="82"/>
      <c r="K38" s="82"/>
    </row>
    <row r="39" spans="1:11" s="80" customFormat="1" ht="22" customHeight="1" x14ac:dyDescent="0.3">
      <c r="A39" s="89" t="s">
        <v>184</v>
      </c>
      <c r="B39" s="178" t="s">
        <v>194</v>
      </c>
      <c r="C39" s="87"/>
      <c r="D39" s="87"/>
      <c r="E39" s="88" t="s">
        <v>186</v>
      </c>
      <c r="F39" s="88"/>
      <c r="I39" s="82"/>
      <c r="J39" s="82"/>
      <c r="K39" s="82"/>
    </row>
    <row r="40" spans="1:11" ht="22" customHeight="1" x14ac:dyDescent="0.35">
      <c r="A40" s="86" t="s">
        <v>184</v>
      </c>
      <c r="B40" s="178" t="s">
        <v>195</v>
      </c>
      <c r="C40" s="87"/>
      <c r="D40" s="87"/>
      <c r="E40" s="88" t="s">
        <v>186</v>
      </c>
      <c r="F40" s="88"/>
      <c r="I40" s="82"/>
      <c r="J40" s="82"/>
      <c r="K40" s="82"/>
    </row>
    <row r="41" spans="1:11" x14ac:dyDescent="0.35">
      <c r="B41" s="90"/>
      <c r="C41" s="90"/>
      <c r="D41" s="90"/>
      <c r="E41" s="90"/>
      <c r="F41" s="90"/>
      <c r="H41" s="82"/>
      <c r="I41" s="82"/>
    </row>
    <row r="42" spans="1:11" ht="27" customHeight="1" x14ac:dyDescent="0.35"/>
    <row r="43" spans="1:11" ht="18" customHeight="1" x14ac:dyDescent="0.35"/>
  </sheetData>
  <mergeCells count="31">
    <mergeCell ref="C4:F4"/>
    <mergeCell ref="C5:F5"/>
    <mergeCell ref="C6:F6"/>
    <mergeCell ref="C16:F16"/>
    <mergeCell ref="C17:F17"/>
    <mergeCell ref="C15:F15"/>
    <mergeCell ref="C22:F22"/>
    <mergeCell ref="C11:F11"/>
    <mergeCell ref="C21:F21"/>
    <mergeCell ref="C12:F12"/>
    <mergeCell ref="C13:F13"/>
    <mergeCell ref="C14:F14"/>
    <mergeCell ref="C18:F18"/>
    <mergeCell ref="C19:F19"/>
    <mergeCell ref="C20:F20"/>
    <mergeCell ref="B1:F1"/>
    <mergeCell ref="B3:F3"/>
    <mergeCell ref="B30:C30"/>
    <mergeCell ref="F28:F29"/>
    <mergeCell ref="B27:C27"/>
    <mergeCell ref="B26:F26"/>
    <mergeCell ref="B28:C28"/>
    <mergeCell ref="D28:D29"/>
    <mergeCell ref="E28:E29"/>
    <mergeCell ref="B29:C29"/>
    <mergeCell ref="C23:F23"/>
    <mergeCell ref="C24:F24"/>
    <mergeCell ref="C7:F7"/>
    <mergeCell ref="C8:F8"/>
    <mergeCell ref="C9:F9"/>
    <mergeCell ref="C10:F10"/>
  </mergeCells>
  <pageMargins left="0.7" right="0.7" top="0.75" bottom="0.75" header="0.3" footer="0.3"/>
  <pageSetup orientation="landscape" r:id="rId1"/>
  <rowBreaks count="1" manualBreakCount="1">
    <brk id="25"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81"/>
  <sheetViews>
    <sheetView view="pageLayout" zoomScaleNormal="100" workbookViewId="0">
      <selection activeCell="C1" sqref="C1"/>
    </sheetView>
  </sheetViews>
  <sheetFormatPr defaultColWidth="9.1796875" defaultRowHeight="13" x14ac:dyDescent="0.35"/>
  <cols>
    <col min="1" max="1" width="2.1796875" style="4" customWidth="1"/>
    <col min="2" max="2" width="2.81640625" style="4" customWidth="1"/>
    <col min="3" max="3" width="39.26953125" style="4" customWidth="1"/>
    <col min="4" max="4" width="4.81640625" style="114" customWidth="1"/>
    <col min="5" max="5" width="21.1796875" style="4" bestFit="1" customWidth="1"/>
    <col min="6" max="6" width="4.453125" style="4" customWidth="1"/>
    <col min="7" max="7" width="13.7265625" style="4" customWidth="1"/>
    <col min="8" max="8" width="9.1796875" style="4" customWidth="1"/>
    <col min="9" max="16384" width="9.1796875" style="4"/>
  </cols>
  <sheetData>
    <row r="1" spans="1:7" ht="34.5" customHeight="1" x14ac:dyDescent="0.35">
      <c r="C1" s="227" t="s">
        <v>478</v>
      </c>
    </row>
    <row r="2" spans="1:7" ht="45.75" customHeight="1" x14ac:dyDescent="0.35">
      <c r="A2" s="477" t="s">
        <v>518</v>
      </c>
      <c r="B2" s="478"/>
      <c r="C2" s="478"/>
      <c r="D2" s="478"/>
      <c r="E2" s="478"/>
      <c r="F2" s="478"/>
      <c r="G2" s="478"/>
    </row>
    <row r="3" spans="1:7" ht="13.5" customHeight="1" x14ac:dyDescent="0.35">
      <c r="A3" s="98"/>
      <c r="B3" s="99"/>
      <c r="C3" s="99"/>
      <c r="D3" s="99"/>
      <c r="E3" s="100"/>
    </row>
    <row r="4" spans="1:7" ht="21" customHeight="1" x14ac:dyDescent="0.35">
      <c r="A4" s="491" t="s">
        <v>196</v>
      </c>
      <c r="B4" s="492"/>
      <c r="C4" s="270"/>
      <c r="D4" s="493" t="s">
        <v>213</v>
      </c>
      <c r="E4" s="357"/>
      <c r="F4" s="491" t="s">
        <v>198</v>
      </c>
      <c r="G4" s="495"/>
    </row>
    <row r="5" spans="1:7" ht="12.75" customHeight="1" x14ac:dyDescent="0.35">
      <c r="A5" s="460" t="s">
        <v>275</v>
      </c>
      <c r="B5" s="494"/>
      <c r="C5" s="494"/>
      <c r="D5" s="494"/>
      <c r="E5" s="494"/>
    </row>
    <row r="6" spans="1:7" x14ac:dyDescent="0.35">
      <c r="A6" s="101" t="s">
        <v>184</v>
      </c>
      <c r="B6" s="246">
        <v>16</v>
      </c>
      <c r="C6" s="320" t="s">
        <v>458</v>
      </c>
      <c r="D6" s="6">
        <v>1</v>
      </c>
      <c r="E6" s="246" t="s">
        <v>4</v>
      </c>
    </row>
    <row r="7" spans="1:7" ht="41.25" customHeight="1" x14ac:dyDescent="0.3">
      <c r="A7" s="137"/>
      <c r="B7" s="247"/>
      <c r="C7" s="322"/>
      <c r="D7" s="7">
        <v>2</v>
      </c>
      <c r="E7" s="247" t="s">
        <v>5</v>
      </c>
      <c r="F7" s="80" t="s">
        <v>17</v>
      </c>
      <c r="G7" s="104" t="s">
        <v>235</v>
      </c>
    </row>
    <row r="8" spans="1:7" ht="37.5" customHeight="1" x14ac:dyDescent="0.35">
      <c r="A8" s="145" t="s">
        <v>184</v>
      </c>
      <c r="B8" s="256">
        <v>16</v>
      </c>
      <c r="C8" s="256" t="s">
        <v>470</v>
      </c>
      <c r="D8" s="345" t="s">
        <v>110</v>
      </c>
      <c r="E8" s="346"/>
    </row>
    <row r="9" spans="1:7" ht="12.75" customHeight="1" x14ac:dyDescent="0.35">
      <c r="A9" s="144" t="s">
        <v>184</v>
      </c>
      <c r="B9" s="8">
        <v>17</v>
      </c>
      <c r="C9" s="320" t="s">
        <v>459</v>
      </c>
      <c r="D9" s="6">
        <v>1</v>
      </c>
      <c r="E9" s="246" t="s">
        <v>4</v>
      </c>
    </row>
    <row r="10" spans="1:7" ht="44.25" customHeight="1" x14ac:dyDescent="0.35">
      <c r="A10" s="137"/>
      <c r="B10" s="261"/>
      <c r="C10" s="322"/>
      <c r="D10" s="7">
        <v>2</v>
      </c>
      <c r="E10" s="247" t="s">
        <v>5</v>
      </c>
      <c r="F10" s="11" t="s">
        <v>17</v>
      </c>
      <c r="G10" s="12" t="s">
        <v>236</v>
      </c>
    </row>
    <row r="11" spans="1:7" ht="39" customHeight="1" x14ac:dyDescent="0.35">
      <c r="A11" s="145" t="s">
        <v>184</v>
      </c>
      <c r="B11" s="146">
        <v>17</v>
      </c>
      <c r="C11" s="256" t="s">
        <v>471</v>
      </c>
      <c r="D11" s="345" t="s">
        <v>110</v>
      </c>
      <c r="E11" s="346"/>
    </row>
    <row r="12" spans="1:7" ht="12.75" customHeight="1" x14ac:dyDescent="0.35">
      <c r="A12" s="144" t="s">
        <v>184</v>
      </c>
      <c r="B12" s="8">
        <f>B9+1</f>
        <v>18</v>
      </c>
      <c r="C12" s="320" t="s">
        <v>597</v>
      </c>
      <c r="D12" s="6">
        <v>1</v>
      </c>
      <c r="E12" s="246" t="s">
        <v>4</v>
      </c>
    </row>
    <row r="13" spans="1:7" ht="34.5" customHeight="1" x14ac:dyDescent="0.35">
      <c r="A13" s="137"/>
      <c r="B13" s="261"/>
      <c r="C13" s="322"/>
      <c r="D13" s="7">
        <v>2</v>
      </c>
      <c r="E13" s="247" t="s">
        <v>5</v>
      </c>
      <c r="F13" s="11" t="s">
        <v>17</v>
      </c>
      <c r="G13" s="12" t="s">
        <v>237</v>
      </c>
    </row>
    <row r="14" spans="1:7" ht="36" customHeight="1" x14ac:dyDescent="0.35">
      <c r="A14" s="145" t="s">
        <v>184</v>
      </c>
      <c r="B14" s="146">
        <f>B12</f>
        <v>18</v>
      </c>
      <c r="C14" s="256" t="s">
        <v>472</v>
      </c>
      <c r="D14" s="345" t="s">
        <v>110</v>
      </c>
      <c r="E14" s="346"/>
    </row>
    <row r="15" spans="1:7" ht="159.75" customHeight="1" x14ac:dyDescent="0.35">
      <c r="A15" s="145" t="s">
        <v>184</v>
      </c>
      <c r="B15" s="146">
        <v>19</v>
      </c>
      <c r="C15" s="246" t="s">
        <v>598</v>
      </c>
      <c r="D15" s="487" t="s">
        <v>551</v>
      </c>
      <c r="E15" s="499"/>
    </row>
    <row r="16" spans="1:7" ht="12.75" customHeight="1" x14ac:dyDescent="0.35">
      <c r="A16" s="144" t="s">
        <v>220</v>
      </c>
      <c r="B16" s="8">
        <v>20</v>
      </c>
      <c r="C16" s="485" t="s">
        <v>473</v>
      </c>
      <c r="D16" s="6">
        <v>1</v>
      </c>
      <c r="E16" s="246" t="s">
        <v>4</v>
      </c>
    </row>
    <row r="17" spans="1:6" ht="12.75" customHeight="1" x14ac:dyDescent="0.35">
      <c r="A17" s="136"/>
      <c r="B17" s="9"/>
      <c r="C17" s="486"/>
      <c r="D17" s="10">
        <v>2</v>
      </c>
      <c r="E17" s="243" t="s">
        <v>5</v>
      </c>
      <c r="F17" s="11"/>
    </row>
    <row r="18" spans="1:6" ht="12.75" customHeight="1" x14ac:dyDescent="0.35">
      <c r="A18" s="136"/>
      <c r="B18" s="9"/>
      <c r="C18" s="486"/>
      <c r="D18" s="10">
        <v>-88</v>
      </c>
      <c r="E18" s="243" t="s">
        <v>7</v>
      </c>
    </row>
    <row r="19" spans="1:6" ht="12.75" customHeight="1" x14ac:dyDescent="0.35">
      <c r="A19" s="137"/>
      <c r="B19" s="261"/>
      <c r="C19" s="228"/>
      <c r="D19" s="7">
        <v>-99</v>
      </c>
      <c r="E19" s="247" t="s">
        <v>20</v>
      </c>
    </row>
    <row r="20" spans="1:6" ht="12.75" customHeight="1" x14ac:dyDescent="0.35">
      <c r="A20" s="144" t="s">
        <v>220</v>
      </c>
      <c r="B20" s="8">
        <f>B16+1</f>
        <v>21</v>
      </c>
      <c r="C20" s="485" t="s">
        <v>475</v>
      </c>
      <c r="D20" s="120">
        <v>1</v>
      </c>
      <c r="E20" s="246" t="s">
        <v>352</v>
      </c>
    </row>
    <row r="21" spans="1:6" x14ac:dyDescent="0.35">
      <c r="A21" s="136"/>
      <c r="B21" s="9"/>
      <c r="C21" s="486"/>
      <c r="D21" s="121">
        <f>D20+1</f>
        <v>2</v>
      </c>
      <c r="E21" s="243" t="s">
        <v>351</v>
      </c>
    </row>
    <row r="22" spans="1:6" ht="26" x14ac:dyDescent="0.35">
      <c r="A22" s="136"/>
      <c r="B22" s="9"/>
      <c r="C22" s="229"/>
      <c r="D22" s="121">
        <f t="shared" ref="D22:D32" si="0">D21+1</f>
        <v>3</v>
      </c>
      <c r="E22" s="243" t="s">
        <v>350</v>
      </c>
    </row>
    <row r="23" spans="1:6" x14ac:dyDescent="0.35">
      <c r="A23" s="136"/>
      <c r="B23" s="9"/>
      <c r="C23" s="229"/>
      <c r="D23" s="121">
        <f t="shared" si="0"/>
        <v>4</v>
      </c>
      <c r="E23" s="243" t="s">
        <v>353</v>
      </c>
    </row>
    <row r="24" spans="1:6" x14ac:dyDescent="0.35">
      <c r="A24" s="136"/>
      <c r="B24" s="9"/>
      <c r="C24" s="229"/>
      <c r="D24" s="121">
        <f t="shared" si="0"/>
        <v>5</v>
      </c>
      <c r="E24" s="243" t="s">
        <v>354</v>
      </c>
    </row>
    <row r="25" spans="1:6" ht="12.75" customHeight="1" x14ac:dyDescent="0.35">
      <c r="A25" s="136"/>
      <c r="B25" s="9"/>
      <c r="C25" s="229"/>
      <c r="D25" s="121">
        <f t="shared" si="0"/>
        <v>6</v>
      </c>
      <c r="E25" s="243" t="s">
        <v>347</v>
      </c>
    </row>
    <row r="26" spans="1:6" ht="26" x14ac:dyDescent="0.35">
      <c r="A26" s="136"/>
      <c r="B26" s="9"/>
      <c r="C26" s="229"/>
      <c r="D26" s="121">
        <f t="shared" si="0"/>
        <v>7</v>
      </c>
      <c r="E26" s="243" t="s">
        <v>540</v>
      </c>
    </row>
    <row r="27" spans="1:6" ht="12.75" customHeight="1" x14ac:dyDescent="0.35">
      <c r="A27" s="136"/>
      <c r="B27" s="9"/>
      <c r="C27" s="229"/>
      <c r="D27" s="121">
        <f t="shared" si="0"/>
        <v>8</v>
      </c>
      <c r="E27" s="243" t="s">
        <v>277</v>
      </c>
    </row>
    <row r="28" spans="1:6" ht="12.75" customHeight="1" x14ac:dyDescent="0.35">
      <c r="A28" s="136"/>
      <c r="B28" s="9"/>
      <c r="C28" s="229"/>
      <c r="D28" s="121">
        <f t="shared" si="0"/>
        <v>9</v>
      </c>
      <c r="E28" s="243" t="s">
        <v>349</v>
      </c>
    </row>
    <row r="29" spans="1:6" ht="26" x14ac:dyDescent="0.35">
      <c r="A29" s="136"/>
      <c r="B29" s="9"/>
      <c r="C29" s="229"/>
      <c r="D29" s="121">
        <f t="shared" si="0"/>
        <v>10</v>
      </c>
      <c r="E29" s="243" t="s">
        <v>348</v>
      </c>
    </row>
    <row r="30" spans="1:6" x14ac:dyDescent="0.35">
      <c r="A30" s="136"/>
      <c r="B30" s="9"/>
      <c r="C30" s="229"/>
      <c r="D30" s="121">
        <f t="shared" si="0"/>
        <v>11</v>
      </c>
      <c r="E30" s="243" t="s">
        <v>345</v>
      </c>
    </row>
    <row r="31" spans="1:6" x14ac:dyDescent="0.35">
      <c r="A31" s="136"/>
      <c r="B31" s="9"/>
      <c r="C31" s="229"/>
      <c r="D31" s="121">
        <f t="shared" si="0"/>
        <v>12</v>
      </c>
      <c r="E31" s="243" t="s">
        <v>346</v>
      </c>
    </row>
    <row r="32" spans="1:6" ht="26" x14ac:dyDescent="0.35">
      <c r="A32" s="136"/>
      <c r="B32" s="9"/>
      <c r="C32" s="229"/>
      <c r="D32" s="121">
        <f t="shared" si="0"/>
        <v>13</v>
      </c>
      <c r="E32" s="243" t="s">
        <v>344</v>
      </c>
    </row>
    <row r="33" spans="1:8" ht="12.75" customHeight="1" x14ac:dyDescent="0.35">
      <c r="A33" s="136"/>
      <c r="B33" s="9"/>
      <c r="C33" s="229"/>
      <c r="D33" s="121">
        <v>-66</v>
      </c>
      <c r="E33" s="243" t="s">
        <v>278</v>
      </c>
      <c r="H33" s="114"/>
    </row>
    <row r="34" spans="1:8" ht="12.75" customHeight="1" x14ac:dyDescent="0.35">
      <c r="A34" s="136"/>
      <c r="B34" s="9"/>
      <c r="C34" s="229"/>
      <c r="D34" s="121">
        <v>-88</v>
      </c>
      <c r="E34" s="243" t="s">
        <v>7</v>
      </c>
    </row>
    <row r="35" spans="1:8" x14ac:dyDescent="0.35">
      <c r="A35" s="137"/>
      <c r="B35" s="261"/>
      <c r="C35" s="228"/>
      <c r="D35" s="122">
        <v>-99</v>
      </c>
      <c r="E35" s="247" t="s">
        <v>20</v>
      </c>
      <c r="H35" s="114"/>
    </row>
    <row r="36" spans="1:8" ht="12.75" customHeight="1" x14ac:dyDescent="0.35">
      <c r="B36" s="114"/>
      <c r="D36" s="4"/>
      <c r="H36" s="114"/>
    </row>
    <row r="37" spans="1:8" ht="19.5" customHeight="1" x14ac:dyDescent="0.35">
      <c r="A37" s="479" t="s">
        <v>519</v>
      </c>
      <c r="B37" s="480"/>
      <c r="C37" s="480"/>
      <c r="D37" s="480"/>
      <c r="E37" s="480"/>
      <c r="F37" s="480"/>
      <c r="G37" s="481"/>
    </row>
    <row r="38" spans="1:8" ht="12.75" customHeight="1" x14ac:dyDescent="0.35">
      <c r="A38" s="496" t="s">
        <v>196</v>
      </c>
      <c r="B38" s="497"/>
      <c r="C38" s="267"/>
      <c r="D38" s="498" t="s">
        <v>213</v>
      </c>
      <c r="E38" s="498"/>
      <c r="F38" s="498"/>
      <c r="G38" s="498"/>
    </row>
    <row r="39" spans="1:8" ht="43.5" customHeight="1" x14ac:dyDescent="0.35">
      <c r="A39" s="102"/>
      <c r="B39" s="265"/>
      <c r="C39" s="163" t="s">
        <v>474</v>
      </c>
      <c r="D39" s="163"/>
      <c r="E39" s="163"/>
      <c r="F39" s="489" t="s">
        <v>302</v>
      </c>
      <c r="G39" s="490"/>
    </row>
    <row r="40" spans="1:8" ht="14.25" customHeight="1" x14ac:dyDescent="0.35">
      <c r="A40" s="101" t="s">
        <v>393</v>
      </c>
      <c r="B40" s="251">
        <v>1</v>
      </c>
      <c r="C40" s="482" t="s">
        <v>45</v>
      </c>
      <c r="D40" s="6">
        <v>1</v>
      </c>
      <c r="E40" s="246" t="s">
        <v>4</v>
      </c>
      <c r="F40" s="487" t="s">
        <v>48</v>
      </c>
      <c r="G40" s="462"/>
    </row>
    <row r="41" spans="1:8" ht="12.75" customHeight="1" x14ac:dyDescent="0.35">
      <c r="A41" s="136"/>
      <c r="B41" s="243"/>
      <c r="C41" s="483"/>
      <c r="D41" s="10">
        <v>2</v>
      </c>
      <c r="E41" s="243" t="s">
        <v>5</v>
      </c>
      <c r="F41" s="453"/>
      <c r="G41" s="454"/>
    </row>
    <row r="42" spans="1:8" ht="12.75" customHeight="1" x14ac:dyDescent="0.35">
      <c r="A42" s="136"/>
      <c r="B42" s="243"/>
      <c r="C42" s="483"/>
      <c r="D42" s="10">
        <v>-88</v>
      </c>
      <c r="E42" s="243" t="s">
        <v>7</v>
      </c>
      <c r="F42" s="453"/>
      <c r="G42" s="454"/>
    </row>
    <row r="43" spans="1:8" x14ac:dyDescent="0.35">
      <c r="A43" s="136"/>
      <c r="B43" s="243"/>
      <c r="C43" s="483"/>
      <c r="D43" s="7">
        <v>-99</v>
      </c>
      <c r="E43" s="247" t="s">
        <v>20</v>
      </c>
      <c r="F43" s="453"/>
      <c r="G43" s="454"/>
    </row>
    <row r="44" spans="1:8" ht="12.75" customHeight="1" x14ac:dyDescent="0.35">
      <c r="A44" s="101" t="s">
        <v>394</v>
      </c>
      <c r="B44" s="251">
        <f>B40+1</f>
        <v>2</v>
      </c>
      <c r="C44" s="482" t="s">
        <v>46</v>
      </c>
      <c r="D44" s="6">
        <v>1</v>
      </c>
      <c r="E44" s="246" t="s">
        <v>4</v>
      </c>
      <c r="F44" s="487" t="s">
        <v>48</v>
      </c>
      <c r="G44" s="462"/>
    </row>
    <row r="45" spans="1:8" ht="15.75" customHeight="1" x14ac:dyDescent="0.35">
      <c r="A45" s="136"/>
      <c r="B45" s="243"/>
      <c r="C45" s="483"/>
      <c r="D45" s="10">
        <v>2</v>
      </c>
      <c r="E45" s="243" t="s">
        <v>5</v>
      </c>
      <c r="F45" s="453"/>
      <c r="G45" s="454"/>
    </row>
    <row r="46" spans="1:8" x14ac:dyDescent="0.35">
      <c r="A46" s="136"/>
      <c r="B46" s="243"/>
      <c r="C46" s="483"/>
      <c r="D46" s="10">
        <v>-88</v>
      </c>
      <c r="E46" s="243" t="s">
        <v>7</v>
      </c>
      <c r="F46" s="453"/>
      <c r="G46" s="454"/>
    </row>
    <row r="47" spans="1:8" x14ac:dyDescent="0.35">
      <c r="A47" s="136"/>
      <c r="B47" s="243"/>
      <c r="C47" s="483"/>
      <c r="D47" s="7">
        <v>-99</v>
      </c>
      <c r="E47" s="247" t="s">
        <v>20</v>
      </c>
      <c r="F47" s="453"/>
      <c r="G47" s="454"/>
    </row>
    <row r="48" spans="1:8" ht="26" x14ac:dyDescent="0.35">
      <c r="A48" s="101" t="s">
        <v>394</v>
      </c>
      <c r="B48" s="251">
        <f>B44+1</f>
        <v>3</v>
      </c>
      <c r="C48" s="482" t="s">
        <v>117</v>
      </c>
      <c r="D48" s="6">
        <v>1</v>
      </c>
      <c r="E48" s="246" t="s">
        <v>4</v>
      </c>
      <c r="F48" s="487" t="s">
        <v>48</v>
      </c>
      <c r="G48" s="462"/>
    </row>
    <row r="49" spans="1:7" ht="18.75" customHeight="1" x14ac:dyDescent="0.35">
      <c r="A49" s="136"/>
      <c r="B49" s="243"/>
      <c r="C49" s="483"/>
      <c r="D49" s="10">
        <v>2</v>
      </c>
      <c r="E49" s="243" t="s">
        <v>5</v>
      </c>
      <c r="F49" s="453"/>
      <c r="G49" s="454"/>
    </row>
    <row r="50" spans="1:7" ht="12.75" customHeight="1" x14ac:dyDescent="0.35">
      <c r="A50" s="136"/>
      <c r="B50" s="243"/>
      <c r="C50" s="483"/>
      <c r="D50" s="10">
        <v>-88</v>
      </c>
      <c r="E50" s="243" t="s">
        <v>7</v>
      </c>
      <c r="F50" s="453"/>
      <c r="G50" s="454"/>
    </row>
    <row r="51" spans="1:7" x14ac:dyDescent="0.35">
      <c r="A51" s="136"/>
      <c r="B51" s="243"/>
      <c r="C51" s="483"/>
      <c r="D51" s="7">
        <v>-99</v>
      </c>
      <c r="E51" s="247" t="s">
        <v>20</v>
      </c>
      <c r="F51" s="453"/>
      <c r="G51" s="454"/>
    </row>
    <row r="52" spans="1:7" ht="12.75" customHeight="1" x14ac:dyDescent="0.35">
      <c r="A52" s="101" t="s">
        <v>394</v>
      </c>
      <c r="B52" s="251">
        <f>B48+1</f>
        <v>4</v>
      </c>
      <c r="C52" s="482" t="s">
        <v>47</v>
      </c>
      <c r="D52" s="6">
        <v>1</v>
      </c>
      <c r="E52" s="246" t="s">
        <v>4</v>
      </c>
      <c r="F52" s="487" t="s">
        <v>48</v>
      </c>
      <c r="G52" s="462"/>
    </row>
    <row r="53" spans="1:7" x14ac:dyDescent="0.35">
      <c r="A53" s="136"/>
      <c r="B53" s="243"/>
      <c r="C53" s="483"/>
      <c r="D53" s="10">
        <v>2</v>
      </c>
      <c r="E53" s="243" t="s">
        <v>5</v>
      </c>
      <c r="F53" s="453"/>
      <c r="G53" s="454"/>
    </row>
    <row r="54" spans="1:7" x14ac:dyDescent="0.35">
      <c r="A54" s="136"/>
      <c r="B54" s="243"/>
      <c r="C54" s="483"/>
      <c r="D54" s="10">
        <v>-88</v>
      </c>
      <c r="E54" s="243" t="s">
        <v>7</v>
      </c>
      <c r="F54" s="453"/>
      <c r="G54" s="454"/>
    </row>
    <row r="55" spans="1:7" x14ac:dyDescent="0.35">
      <c r="A55" s="136"/>
      <c r="B55" s="243"/>
      <c r="C55" s="483"/>
      <c r="D55" s="10">
        <v>-99</v>
      </c>
      <c r="E55" s="243" t="s">
        <v>20</v>
      </c>
      <c r="F55" s="453"/>
      <c r="G55" s="454"/>
    </row>
    <row r="56" spans="1:7" ht="26" x14ac:dyDescent="0.35">
      <c r="A56" s="101" t="s">
        <v>394</v>
      </c>
      <c r="B56" s="251">
        <f>B52+1</f>
        <v>5</v>
      </c>
      <c r="C56" s="482" t="s">
        <v>520</v>
      </c>
      <c r="D56" s="6">
        <v>1</v>
      </c>
      <c r="E56" s="246" t="s">
        <v>4</v>
      </c>
      <c r="F56" s="487" t="s">
        <v>48</v>
      </c>
      <c r="G56" s="462"/>
    </row>
    <row r="57" spans="1:7" x14ac:dyDescent="0.35">
      <c r="A57" s="136"/>
      <c r="B57" s="243"/>
      <c r="C57" s="483"/>
      <c r="D57" s="10">
        <v>2</v>
      </c>
      <c r="E57" s="243" t="s">
        <v>5</v>
      </c>
      <c r="F57" s="453"/>
      <c r="G57" s="454"/>
    </row>
    <row r="58" spans="1:7" x14ac:dyDescent="0.35">
      <c r="A58" s="136"/>
      <c r="B58" s="243"/>
      <c r="C58" s="483"/>
      <c r="D58" s="10">
        <v>-88</v>
      </c>
      <c r="E58" s="243" t="s">
        <v>7</v>
      </c>
      <c r="F58" s="453"/>
      <c r="G58" s="454"/>
    </row>
    <row r="59" spans="1:7" x14ac:dyDescent="0.35">
      <c r="A59" s="137"/>
      <c r="B59" s="247"/>
      <c r="C59" s="484"/>
      <c r="D59" s="7">
        <v>-99</v>
      </c>
      <c r="E59" s="247" t="s">
        <v>20</v>
      </c>
      <c r="F59" s="488"/>
      <c r="G59" s="456"/>
    </row>
    <row r="60" spans="1:7" ht="25.5" customHeight="1" x14ac:dyDescent="0.35">
      <c r="A60" s="230"/>
    </row>
    <row r="61" spans="1:7" ht="45" customHeight="1" x14ac:dyDescent="0.35">
      <c r="A61" s="231"/>
      <c r="B61" s="232"/>
      <c r="C61" s="500" t="s">
        <v>573</v>
      </c>
      <c r="D61" s="500"/>
      <c r="E61" s="501"/>
      <c r="F61" s="489" t="s">
        <v>302</v>
      </c>
      <c r="G61" s="490"/>
    </row>
    <row r="62" spans="1:7" ht="17.25" customHeight="1" x14ac:dyDescent="0.35">
      <c r="A62" s="101" t="s">
        <v>394</v>
      </c>
      <c r="B62" s="251">
        <f>B56+1</f>
        <v>6</v>
      </c>
      <c r="C62" s="482" t="s">
        <v>45</v>
      </c>
      <c r="D62" s="6">
        <v>1</v>
      </c>
      <c r="E62" s="246" t="s">
        <v>4</v>
      </c>
      <c r="F62" s="487" t="s">
        <v>48</v>
      </c>
      <c r="G62" s="462"/>
    </row>
    <row r="63" spans="1:7" ht="12.75" customHeight="1" x14ac:dyDescent="0.35">
      <c r="A63" s="136"/>
      <c r="B63" s="243"/>
      <c r="C63" s="483"/>
      <c r="D63" s="10">
        <v>2</v>
      </c>
      <c r="E63" s="243" t="s">
        <v>5</v>
      </c>
      <c r="F63" s="453"/>
      <c r="G63" s="454"/>
    </row>
    <row r="64" spans="1:7" x14ac:dyDescent="0.35">
      <c r="A64" s="136"/>
      <c r="B64" s="243"/>
      <c r="C64" s="483"/>
      <c r="D64" s="10">
        <v>-88</v>
      </c>
      <c r="E64" s="243" t="s">
        <v>7</v>
      </c>
      <c r="F64" s="453"/>
      <c r="G64" s="454"/>
    </row>
    <row r="65" spans="1:7" x14ac:dyDescent="0.35">
      <c r="A65" s="136"/>
      <c r="B65" s="243"/>
      <c r="C65" s="483"/>
      <c r="D65" s="7">
        <v>-99</v>
      </c>
      <c r="E65" s="247" t="s">
        <v>20</v>
      </c>
      <c r="F65" s="453"/>
      <c r="G65" s="454"/>
    </row>
    <row r="66" spans="1:7" ht="26" x14ac:dyDescent="0.35">
      <c r="A66" s="101" t="s">
        <v>394</v>
      </c>
      <c r="B66" s="251">
        <f>B62+1</f>
        <v>7</v>
      </c>
      <c r="C66" s="482" t="s">
        <v>46</v>
      </c>
      <c r="D66" s="6">
        <v>1</v>
      </c>
      <c r="E66" s="246" t="s">
        <v>4</v>
      </c>
      <c r="F66" s="487" t="s">
        <v>48</v>
      </c>
      <c r="G66" s="462"/>
    </row>
    <row r="67" spans="1:7" ht="12.75" customHeight="1" x14ac:dyDescent="0.35">
      <c r="A67" s="136"/>
      <c r="B67" s="243"/>
      <c r="C67" s="483"/>
      <c r="D67" s="10">
        <v>2</v>
      </c>
      <c r="E67" s="243" t="s">
        <v>5</v>
      </c>
      <c r="F67" s="453"/>
      <c r="G67" s="454"/>
    </row>
    <row r="68" spans="1:7" x14ac:dyDescent="0.35">
      <c r="A68" s="136"/>
      <c r="B68" s="243"/>
      <c r="C68" s="483"/>
      <c r="D68" s="10">
        <v>-88</v>
      </c>
      <c r="E68" s="243" t="s">
        <v>7</v>
      </c>
      <c r="F68" s="453"/>
      <c r="G68" s="454"/>
    </row>
    <row r="69" spans="1:7" x14ac:dyDescent="0.35">
      <c r="A69" s="136"/>
      <c r="B69" s="243"/>
      <c r="C69" s="483"/>
      <c r="D69" s="7">
        <v>-99</v>
      </c>
      <c r="E69" s="247" t="s">
        <v>20</v>
      </c>
      <c r="F69" s="453"/>
      <c r="G69" s="454"/>
    </row>
    <row r="70" spans="1:7" ht="26" x14ac:dyDescent="0.35">
      <c r="A70" s="101" t="s">
        <v>394</v>
      </c>
      <c r="B70" s="251">
        <f>B66+1</f>
        <v>8</v>
      </c>
      <c r="C70" s="482" t="s">
        <v>117</v>
      </c>
      <c r="D70" s="6">
        <v>1</v>
      </c>
      <c r="E70" s="246" t="s">
        <v>4</v>
      </c>
      <c r="F70" s="487" t="s">
        <v>48</v>
      </c>
      <c r="G70" s="462"/>
    </row>
    <row r="71" spans="1:7" ht="12.75" customHeight="1" x14ac:dyDescent="0.35">
      <c r="A71" s="136"/>
      <c r="B71" s="243"/>
      <c r="C71" s="483"/>
      <c r="D71" s="10">
        <v>2</v>
      </c>
      <c r="E71" s="243" t="s">
        <v>5</v>
      </c>
      <c r="F71" s="453"/>
      <c r="G71" s="454"/>
    </row>
    <row r="72" spans="1:7" x14ac:dyDescent="0.35">
      <c r="A72" s="136"/>
      <c r="B72" s="243"/>
      <c r="C72" s="483"/>
      <c r="D72" s="10">
        <v>-88</v>
      </c>
      <c r="E72" s="243" t="s">
        <v>7</v>
      </c>
      <c r="F72" s="453"/>
      <c r="G72" s="454"/>
    </row>
    <row r="73" spans="1:7" x14ac:dyDescent="0.35">
      <c r="A73" s="136"/>
      <c r="B73" s="243"/>
      <c r="C73" s="483"/>
      <c r="D73" s="7">
        <v>-99</v>
      </c>
      <c r="E73" s="247" t="s">
        <v>20</v>
      </c>
      <c r="F73" s="453"/>
      <c r="G73" s="454"/>
    </row>
    <row r="74" spans="1:7" ht="26" x14ac:dyDescent="0.35">
      <c r="A74" s="101" t="s">
        <v>394</v>
      </c>
      <c r="B74" s="251">
        <f>B70+1</f>
        <v>9</v>
      </c>
      <c r="C74" s="482" t="s">
        <v>47</v>
      </c>
      <c r="D74" s="6">
        <v>1</v>
      </c>
      <c r="E74" s="246" t="s">
        <v>4</v>
      </c>
      <c r="F74" s="487" t="s">
        <v>48</v>
      </c>
      <c r="G74" s="462"/>
    </row>
    <row r="75" spans="1:7" ht="12.75" customHeight="1" x14ac:dyDescent="0.35">
      <c r="A75" s="136"/>
      <c r="B75" s="243"/>
      <c r="C75" s="483"/>
      <c r="D75" s="10">
        <v>2</v>
      </c>
      <c r="E75" s="243" t="s">
        <v>5</v>
      </c>
      <c r="F75" s="453"/>
      <c r="G75" s="454"/>
    </row>
    <row r="76" spans="1:7" x14ac:dyDescent="0.35">
      <c r="A76" s="136"/>
      <c r="B76" s="243"/>
      <c r="C76" s="483"/>
      <c r="D76" s="10">
        <v>-88</v>
      </c>
      <c r="E76" s="243" t="s">
        <v>7</v>
      </c>
      <c r="F76" s="453"/>
      <c r="G76" s="454"/>
    </row>
    <row r="77" spans="1:7" x14ac:dyDescent="0.35">
      <c r="A77" s="136"/>
      <c r="B77" s="243"/>
      <c r="C77" s="483"/>
      <c r="D77" s="10">
        <v>-99</v>
      </c>
      <c r="E77" s="243" t="s">
        <v>20</v>
      </c>
      <c r="F77" s="453"/>
      <c r="G77" s="454"/>
    </row>
    <row r="78" spans="1:7" ht="26" x14ac:dyDescent="0.35">
      <c r="A78" s="101" t="s">
        <v>394</v>
      </c>
      <c r="B78" s="251">
        <f>B74+1</f>
        <v>10</v>
      </c>
      <c r="C78" s="482" t="s">
        <v>520</v>
      </c>
      <c r="D78" s="6">
        <v>1</v>
      </c>
      <c r="E78" s="246" t="s">
        <v>4</v>
      </c>
      <c r="F78" s="487" t="s">
        <v>48</v>
      </c>
      <c r="G78" s="462"/>
    </row>
    <row r="79" spans="1:7" ht="12.75" customHeight="1" x14ac:dyDescent="0.35">
      <c r="A79" s="136"/>
      <c r="B79" s="243"/>
      <c r="C79" s="483"/>
      <c r="D79" s="10">
        <v>2</v>
      </c>
      <c r="E79" s="243" t="s">
        <v>5</v>
      </c>
      <c r="F79" s="453"/>
      <c r="G79" s="454"/>
    </row>
    <row r="80" spans="1:7" x14ac:dyDescent="0.35">
      <c r="A80" s="136"/>
      <c r="B80" s="243"/>
      <c r="C80" s="483"/>
      <c r="D80" s="10">
        <v>-88</v>
      </c>
      <c r="E80" s="243" t="s">
        <v>7</v>
      </c>
      <c r="F80" s="453"/>
      <c r="G80" s="454"/>
    </row>
    <row r="81" spans="1:7" x14ac:dyDescent="0.35">
      <c r="A81" s="137"/>
      <c r="B81" s="247"/>
      <c r="C81" s="484"/>
      <c r="D81" s="7">
        <v>-99</v>
      </c>
      <c r="E81" s="247" t="s">
        <v>20</v>
      </c>
      <c r="F81" s="488"/>
      <c r="G81" s="456"/>
    </row>
  </sheetData>
  <mergeCells count="40">
    <mergeCell ref="F74:G77"/>
    <mergeCell ref="C9:C10"/>
    <mergeCell ref="D15:E15"/>
    <mergeCell ref="F44:G47"/>
    <mergeCell ref="F62:G65"/>
    <mergeCell ref="C61:E61"/>
    <mergeCell ref="F66:G69"/>
    <mergeCell ref="F70:G73"/>
    <mergeCell ref="A4:B4"/>
    <mergeCell ref="D4:E4"/>
    <mergeCell ref="F52:G55"/>
    <mergeCell ref="F56:G59"/>
    <mergeCell ref="F39:G39"/>
    <mergeCell ref="F40:G43"/>
    <mergeCell ref="A5:E5"/>
    <mergeCell ref="D14:E14"/>
    <mergeCell ref="C12:C13"/>
    <mergeCell ref="D8:E8"/>
    <mergeCell ref="D11:E11"/>
    <mergeCell ref="C6:C7"/>
    <mergeCell ref="F4:G4"/>
    <mergeCell ref="A38:B38"/>
    <mergeCell ref="D38:G38"/>
    <mergeCell ref="C20:C21"/>
    <mergeCell ref="A2:G2"/>
    <mergeCell ref="A37:G37"/>
    <mergeCell ref="C78:C81"/>
    <mergeCell ref="C74:C77"/>
    <mergeCell ref="C16:C18"/>
    <mergeCell ref="C62:C65"/>
    <mergeCell ref="C70:C73"/>
    <mergeCell ref="C48:C51"/>
    <mergeCell ref="C52:C55"/>
    <mergeCell ref="C56:C59"/>
    <mergeCell ref="C66:C69"/>
    <mergeCell ref="C40:C43"/>
    <mergeCell ref="C44:C47"/>
    <mergeCell ref="F48:G51"/>
    <mergeCell ref="F78:G81"/>
    <mergeCell ref="F61:G61"/>
  </mergeCells>
  <pageMargins left="0.7" right="0.7" top="0.75" bottom="0.75" header="0.3" footer="0.3"/>
  <pageSetup orientation="portrait" r:id="rId1"/>
  <headerFooter>
    <oddHeader xml:space="preserve">&amp;CSAVINGS &amp; TRANSFERS </oddHeader>
  </headerFooter>
  <rowBreaks count="2" manualBreakCount="2">
    <brk id="19" max="16383" man="1"/>
    <brk id="6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8"/>
  <sheetViews>
    <sheetView view="pageLayout" zoomScaleNormal="100" workbookViewId="0">
      <selection activeCell="G12" sqref="G12"/>
    </sheetView>
  </sheetViews>
  <sheetFormatPr defaultColWidth="9.1796875" defaultRowHeight="13" x14ac:dyDescent="0.35"/>
  <cols>
    <col min="1" max="1" width="3.26953125" style="4" customWidth="1"/>
    <col min="2" max="2" width="3.453125" style="4" customWidth="1"/>
    <col min="3" max="3" width="31.1796875" style="4" customWidth="1"/>
    <col min="4" max="4" width="9.1796875" style="114"/>
    <col min="5" max="5" width="27" style="4" customWidth="1"/>
    <col min="6" max="6" width="4.54296875" style="4" customWidth="1"/>
    <col min="7" max="7" width="8.1796875" style="4" customWidth="1"/>
    <col min="8" max="16384" width="9.1796875" style="4"/>
  </cols>
  <sheetData>
    <row r="1" spans="1:7" ht="70.5" customHeight="1" x14ac:dyDescent="0.35">
      <c r="A1" s="518" t="s">
        <v>305</v>
      </c>
      <c r="B1" s="518"/>
      <c r="C1" s="518"/>
      <c r="D1" s="518"/>
      <c r="E1" s="518"/>
      <c r="F1" s="518"/>
      <c r="G1" s="518"/>
    </row>
    <row r="2" spans="1:7" ht="14.25" customHeight="1" x14ac:dyDescent="0.35">
      <c r="A2" s="519" t="s">
        <v>0</v>
      </c>
      <c r="B2" s="520"/>
      <c r="C2" s="285" t="s">
        <v>57</v>
      </c>
      <c r="D2" s="491" t="s">
        <v>58</v>
      </c>
      <c r="E2" s="495"/>
      <c r="F2" s="491" t="s">
        <v>59</v>
      </c>
      <c r="G2" s="495"/>
    </row>
    <row r="3" spans="1:7" ht="14.25" customHeight="1" x14ac:dyDescent="0.35">
      <c r="A3" s="521" t="s">
        <v>247</v>
      </c>
      <c r="B3" s="522"/>
      <c r="C3" s="523"/>
      <c r="D3" s="111"/>
      <c r="E3" s="97"/>
      <c r="F3" s="172"/>
      <c r="G3" s="233"/>
    </row>
    <row r="4" spans="1:7" ht="15.75" customHeight="1" x14ac:dyDescent="0.35">
      <c r="A4" s="10" t="s">
        <v>220</v>
      </c>
      <c r="B4" s="115">
        <v>1</v>
      </c>
      <c r="C4" s="234" t="s">
        <v>248</v>
      </c>
      <c r="D4" s="514" t="s">
        <v>110</v>
      </c>
      <c r="E4" s="515"/>
      <c r="F4" s="516" t="s">
        <v>249</v>
      </c>
      <c r="G4" s="517"/>
    </row>
    <row r="5" spans="1:7" ht="17.25" customHeight="1" x14ac:dyDescent="0.35">
      <c r="A5" s="10" t="s">
        <v>220</v>
      </c>
      <c r="B5" s="115">
        <f>B4+1</f>
        <v>2</v>
      </c>
      <c r="C5" s="112" t="s">
        <v>250</v>
      </c>
      <c r="D5" s="508" t="s">
        <v>110</v>
      </c>
      <c r="E5" s="509"/>
      <c r="F5" s="516"/>
      <c r="G5" s="517"/>
    </row>
    <row r="6" spans="1:7" ht="17.25" customHeight="1" x14ac:dyDescent="0.35">
      <c r="A6" s="10" t="s">
        <v>220</v>
      </c>
      <c r="B6" s="115">
        <f t="shared" ref="B6:B11" si="0">B5+1</f>
        <v>3</v>
      </c>
      <c r="C6" s="112" t="s">
        <v>251</v>
      </c>
      <c r="D6" s="508" t="s">
        <v>110</v>
      </c>
      <c r="E6" s="509"/>
      <c r="F6" s="172"/>
      <c r="G6" s="233"/>
    </row>
    <row r="7" spans="1:7" ht="18" customHeight="1" x14ac:dyDescent="0.35">
      <c r="A7" s="10" t="s">
        <v>220</v>
      </c>
      <c r="B7" s="115">
        <f t="shared" si="0"/>
        <v>4</v>
      </c>
      <c r="C7" s="112" t="s">
        <v>252</v>
      </c>
      <c r="D7" s="508" t="s">
        <v>110</v>
      </c>
      <c r="E7" s="509"/>
      <c r="F7" s="172"/>
      <c r="G7" s="233"/>
    </row>
    <row r="8" spans="1:7" ht="18" customHeight="1" x14ac:dyDescent="0.35">
      <c r="A8" s="10" t="s">
        <v>220</v>
      </c>
      <c r="B8" s="115">
        <f t="shared" si="0"/>
        <v>5</v>
      </c>
      <c r="C8" s="112" t="s">
        <v>253</v>
      </c>
      <c r="D8" s="508" t="s">
        <v>110</v>
      </c>
      <c r="E8" s="509"/>
      <c r="F8" s="172"/>
      <c r="G8" s="233"/>
    </row>
    <row r="9" spans="1:7" ht="20.25" customHeight="1" x14ac:dyDescent="0.35">
      <c r="A9" s="10" t="s">
        <v>220</v>
      </c>
      <c r="B9" s="115">
        <f t="shared" si="0"/>
        <v>6</v>
      </c>
      <c r="C9" s="112" t="s">
        <v>254</v>
      </c>
      <c r="D9" s="508" t="s">
        <v>110</v>
      </c>
      <c r="E9" s="509"/>
      <c r="F9" s="172"/>
      <c r="G9" s="233"/>
    </row>
    <row r="10" spans="1:7" ht="25.5" customHeight="1" x14ac:dyDescent="0.35">
      <c r="A10" s="10" t="s">
        <v>220</v>
      </c>
      <c r="B10" s="115">
        <f t="shared" si="0"/>
        <v>7</v>
      </c>
      <c r="C10" s="112" t="s">
        <v>255</v>
      </c>
      <c r="D10" s="508" t="s">
        <v>110</v>
      </c>
      <c r="E10" s="509"/>
      <c r="F10" s="172"/>
      <c r="G10" s="233"/>
    </row>
    <row r="11" spans="1:7" ht="18.75" customHeight="1" x14ac:dyDescent="0.35">
      <c r="A11" s="10" t="s">
        <v>220</v>
      </c>
      <c r="B11" s="115">
        <f t="shared" si="0"/>
        <v>8</v>
      </c>
      <c r="C11" s="112" t="s">
        <v>256</v>
      </c>
      <c r="D11" s="508" t="s">
        <v>110</v>
      </c>
      <c r="E11" s="509"/>
      <c r="F11" s="172"/>
      <c r="G11" s="233"/>
    </row>
    <row r="12" spans="1:7" ht="18.75" customHeight="1" x14ac:dyDescent="0.35">
      <c r="A12" s="295" t="s">
        <v>220</v>
      </c>
      <c r="B12" s="296">
        <v>12</v>
      </c>
      <c r="C12" s="297" t="s">
        <v>608</v>
      </c>
      <c r="D12" s="510" t="s">
        <v>110</v>
      </c>
      <c r="E12" s="511"/>
      <c r="F12" s="172"/>
      <c r="G12" s="233"/>
    </row>
    <row r="13" spans="1:7" ht="18.75" customHeight="1" x14ac:dyDescent="0.35">
      <c r="A13" s="295" t="s">
        <v>220</v>
      </c>
      <c r="B13" s="296">
        <v>13</v>
      </c>
      <c r="C13" s="297" t="s">
        <v>609</v>
      </c>
      <c r="D13" s="510" t="s">
        <v>110</v>
      </c>
      <c r="E13" s="511"/>
      <c r="F13" s="172"/>
      <c r="G13" s="233"/>
    </row>
    <row r="14" spans="1:7" ht="57.75" customHeight="1" x14ac:dyDescent="0.35">
      <c r="A14" s="10" t="s">
        <v>220</v>
      </c>
      <c r="B14" s="115">
        <f>B11+1</f>
        <v>9</v>
      </c>
      <c r="C14" s="235" t="s">
        <v>533</v>
      </c>
      <c r="D14" s="512" t="s">
        <v>110</v>
      </c>
      <c r="E14" s="513"/>
      <c r="F14" s="172"/>
      <c r="G14" s="233"/>
    </row>
    <row r="15" spans="1:7" ht="23.25" customHeight="1" x14ac:dyDescent="0.35">
      <c r="A15" s="6" t="s">
        <v>220</v>
      </c>
      <c r="B15" s="251">
        <f>B14+1</f>
        <v>10</v>
      </c>
      <c r="C15" s="352" t="s">
        <v>257</v>
      </c>
      <c r="D15" s="6">
        <v>1</v>
      </c>
      <c r="E15" s="246" t="s">
        <v>4</v>
      </c>
      <c r="F15" s="181"/>
      <c r="G15" s="236"/>
    </row>
    <row r="16" spans="1:7" ht="19.5" customHeight="1" x14ac:dyDescent="0.35">
      <c r="A16" s="237"/>
      <c r="B16" s="238"/>
      <c r="C16" s="352"/>
      <c r="D16" s="7">
        <v>2</v>
      </c>
      <c r="E16" s="247" t="s">
        <v>5</v>
      </c>
      <c r="F16" s="20" t="s">
        <v>17</v>
      </c>
      <c r="G16" s="258">
        <f>B21</f>
        <v>1</v>
      </c>
    </row>
    <row r="17" spans="1:7" s="172" customFormat="1" ht="49.5" customHeight="1" x14ac:dyDescent="0.35">
      <c r="A17" s="116" t="s">
        <v>220</v>
      </c>
      <c r="B17" s="15">
        <f>B15+1</f>
        <v>11</v>
      </c>
      <c r="C17" s="256" t="s">
        <v>306</v>
      </c>
      <c r="D17" s="345" t="s">
        <v>110</v>
      </c>
      <c r="E17" s="346"/>
      <c r="F17" s="117"/>
      <c r="G17" s="118"/>
    </row>
    <row r="18" spans="1:7" ht="22.5" customHeight="1" x14ac:dyDescent="0.35">
      <c r="C18" s="190"/>
      <c r="D18" s="25"/>
      <c r="E18" s="190"/>
    </row>
    <row r="19" spans="1:7" ht="60" customHeight="1" x14ac:dyDescent="0.35">
      <c r="A19" s="505" t="s">
        <v>599</v>
      </c>
      <c r="B19" s="506"/>
      <c r="C19" s="506"/>
      <c r="D19" s="506"/>
      <c r="E19" s="506"/>
      <c r="F19" s="507"/>
    </row>
    <row r="20" spans="1:7" ht="21.75" customHeight="1" x14ac:dyDescent="0.35">
      <c r="A20" s="28" t="s">
        <v>0</v>
      </c>
      <c r="B20" s="29"/>
      <c r="C20" s="30" t="s">
        <v>1</v>
      </c>
      <c r="D20" s="397" t="s">
        <v>2</v>
      </c>
      <c r="E20" s="399"/>
      <c r="F20" s="287" t="s">
        <v>3</v>
      </c>
    </row>
    <row r="21" spans="1:7" x14ac:dyDescent="0.35">
      <c r="A21" s="110" t="s">
        <v>395</v>
      </c>
      <c r="B21" s="251">
        <v>1</v>
      </c>
      <c r="C21" s="323" t="s">
        <v>521</v>
      </c>
      <c r="D21" s="24">
        <v>1</v>
      </c>
      <c r="E21" s="246" t="s">
        <v>4</v>
      </c>
      <c r="F21" s="239"/>
    </row>
    <row r="22" spans="1:7" ht="14.25" customHeight="1" x14ac:dyDescent="0.35">
      <c r="A22" s="34"/>
      <c r="B22" s="9"/>
      <c r="C22" s="342"/>
      <c r="D22" s="25">
        <v>2</v>
      </c>
      <c r="E22" s="243" t="s">
        <v>5</v>
      </c>
      <c r="F22" s="311" t="s">
        <v>600</v>
      </c>
      <c r="G22" s="326"/>
    </row>
    <row r="23" spans="1:7" x14ac:dyDescent="0.35">
      <c r="A23" s="34"/>
      <c r="B23" s="9"/>
      <c r="C23" s="342"/>
      <c r="D23" s="25">
        <v>-88</v>
      </c>
      <c r="E23" s="243" t="s">
        <v>7</v>
      </c>
      <c r="F23" s="311"/>
      <c r="G23" s="326"/>
    </row>
    <row r="24" spans="1:7" x14ac:dyDescent="0.35">
      <c r="A24" s="35"/>
      <c r="B24" s="261"/>
      <c r="C24" s="324"/>
      <c r="D24" s="26">
        <v>-99</v>
      </c>
      <c r="E24" s="247" t="s">
        <v>20</v>
      </c>
      <c r="F24" s="35"/>
    </row>
    <row r="25" spans="1:7" ht="12.75" hidden="1" customHeight="1" x14ac:dyDescent="0.35"/>
    <row r="26" spans="1:7" ht="26.25" customHeight="1" x14ac:dyDescent="0.35">
      <c r="A26" s="239" t="s">
        <v>287</v>
      </c>
      <c r="B26" s="251">
        <v>2</v>
      </c>
      <c r="C26" s="245" t="s">
        <v>442</v>
      </c>
      <c r="D26" s="503" t="s">
        <v>78</v>
      </c>
      <c r="E26" s="504"/>
      <c r="F26" s="246"/>
    </row>
    <row r="27" spans="1:7" ht="26.25" customHeight="1" x14ac:dyDescent="0.35">
      <c r="A27" s="239" t="s">
        <v>287</v>
      </c>
      <c r="B27" s="251">
        <f>B26+1</f>
        <v>3</v>
      </c>
      <c r="C27" s="245" t="s">
        <v>55</v>
      </c>
      <c r="D27" s="503" t="s">
        <v>27</v>
      </c>
      <c r="E27" s="504"/>
      <c r="F27" s="246"/>
    </row>
    <row r="28" spans="1:7" x14ac:dyDescent="0.35">
      <c r="A28" s="239" t="s">
        <v>287</v>
      </c>
      <c r="B28" s="251">
        <f>B27+1</f>
        <v>4</v>
      </c>
      <c r="C28" s="320" t="s">
        <v>565</v>
      </c>
      <c r="D28" s="38">
        <v>1</v>
      </c>
      <c r="E28" s="250" t="s">
        <v>28</v>
      </c>
      <c r="F28" s="248"/>
    </row>
    <row r="29" spans="1:7" x14ac:dyDescent="0.35">
      <c r="A29" s="34"/>
      <c r="B29" s="243"/>
      <c r="C29" s="312"/>
      <c r="D29" s="25">
        <f t="shared" ref="D29:D46" si="1">D28+1</f>
        <v>2</v>
      </c>
      <c r="E29" s="190" t="s">
        <v>29</v>
      </c>
      <c r="F29" s="252"/>
    </row>
    <row r="30" spans="1:7" ht="15.75" customHeight="1" x14ac:dyDescent="0.35">
      <c r="A30" s="34"/>
      <c r="B30" s="243"/>
      <c r="C30" s="312"/>
      <c r="D30" s="25">
        <f t="shared" si="1"/>
        <v>3</v>
      </c>
      <c r="E30" s="190" t="s">
        <v>30</v>
      </c>
      <c r="F30" s="34"/>
    </row>
    <row r="31" spans="1:7" x14ac:dyDescent="0.35">
      <c r="A31" s="34"/>
      <c r="B31" s="243"/>
      <c r="C31" s="312"/>
      <c r="D31" s="25">
        <f t="shared" si="1"/>
        <v>4</v>
      </c>
      <c r="E31" s="190" t="s">
        <v>31</v>
      </c>
      <c r="F31" s="34"/>
    </row>
    <row r="32" spans="1:7" x14ac:dyDescent="0.35">
      <c r="A32" s="34"/>
      <c r="B32" s="243"/>
      <c r="C32" s="312"/>
      <c r="D32" s="25">
        <f t="shared" si="1"/>
        <v>5</v>
      </c>
      <c r="E32" s="190" t="s">
        <v>32</v>
      </c>
      <c r="F32" s="34"/>
    </row>
    <row r="33" spans="1:6" x14ac:dyDescent="0.35">
      <c r="A33" s="34"/>
      <c r="B33" s="243"/>
      <c r="C33" s="312"/>
      <c r="D33" s="25">
        <f t="shared" si="1"/>
        <v>6</v>
      </c>
      <c r="E33" s="190" t="s">
        <v>33</v>
      </c>
      <c r="F33" s="34"/>
    </row>
    <row r="34" spans="1:6" x14ac:dyDescent="0.35">
      <c r="A34" s="34"/>
      <c r="B34" s="9"/>
      <c r="C34" s="19"/>
      <c r="D34" s="25">
        <f t="shared" si="1"/>
        <v>7</v>
      </c>
      <c r="E34" s="190" t="s">
        <v>34</v>
      </c>
      <c r="F34" s="34"/>
    </row>
    <row r="35" spans="1:6" x14ac:dyDescent="0.35">
      <c r="A35" s="34"/>
      <c r="B35" s="9"/>
      <c r="C35" s="19"/>
      <c r="D35" s="25">
        <f t="shared" si="1"/>
        <v>8</v>
      </c>
      <c r="E35" s="190" t="s">
        <v>35</v>
      </c>
      <c r="F35" s="34"/>
    </row>
    <row r="36" spans="1:6" x14ac:dyDescent="0.35">
      <c r="A36" s="34"/>
      <c r="B36" s="9"/>
      <c r="C36" s="19"/>
      <c r="D36" s="25">
        <f t="shared" si="1"/>
        <v>9</v>
      </c>
      <c r="E36" s="190" t="s">
        <v>36</v>
      </c>
      <c r="F36" s="34"/>
    </row>
    <row r="37" spans="1:6" x14ac:dyDescent="0.35">
      <c r="A37" s="34"/>
      <c r="B37" s="9"/>
      <c r="C37" s="19"/>
      <c r="D37" s="25">
        <f t="shared" si="1"/>
        <v>10</v>
      </c>
      <c r="E37" s="190" t="s">
        <v>37</v>
      </c>
      <c r="F37" s="34"/>
    </row>
    <row r="38" spans="1:6" x14ac:dyDescent="0.35">
      <c r="A38" s="34"/>
      <c r="B38" s="9"/>
      <c r="C38" s="19"/>
      <c r="D38" s="25">
        <f t="shared" si="1"/>
        <v>11</v>
      </c>
      <c r="E38" s="190" t="s">
        <v>38</v>
      </c>
      <c r="F38" s="34"/>
    </row>
    <row r="39" spans="1:6" x14ac:dyDescent="0.35">
      <c r="A39" s="34"/>
      <c r="B39" s="9"/>
      <c r="C39" s="19"/>
      <c r="D39" s="25">
        <f t="shared" si="1"/>
        <v>12</v>
      </c>
      <c r="E39" s="190" t="s">
        <v>238</v>
      </c>
      <c r="F39" s="34"/>
    </row>
    <row r="40" spans="1:6" x14ac:dyDescent="0.35">
      <c r="A40" s="34"/>
      <c r="B40" s="9"/>
      <c r="C40" s="19"/>
      <c r="D40" s="25">
        <f t="shared" si="1"/>
        <v>13</v>
      </c>
      <c r="E40" s="190" t="s">
        <v>118</v>
      </c>
      <c r="F40" s="34"/>
    </row>
    <row r="41" spans="1:6" x14ac:dyDescent="0.35">
      <c r="A41" s="34"/>
      <c r="B41" s="9"/>
      <c r="C41" s="19"/>
      <c r="D41" s="25">
        <f t="shared" si="1"/>
        <v>14</v>
      </c>
      <c r="E41" s="190" t="s">
        <v>253</v>
      </c>
      <c r="F41" s="34"/>
    </row>
    <row r="42" spans="1:6" x14ac:dyDescent="0.35">
      <c r="A42" s="34"/>
      <c r="B42" s="9"/>
      <c r="C42" s="19"/>
      <c r="D42" s="25">
        <f t="shared" si="1"/>
        <v>15</v>
      </c>
      <c r="E42" s="190" t="s">
        <v>119</v>
      </c>
      <c r="F42" s="34"/>
    </row>
    <row r="43" spans="1:6" x14ac:dyDescent="0.35">
      <c r="A43" s="34"/>
      <c r="B43" s="9"/>
      <c r="C43" s="19"/>
      <c r="D43" s="25">
        <f t="shared" si="1"/>
        <v>16</v>
      </c>
      <c r="E43" s="190" t="s">
        <v>120</v>
      </c>
      <c r="F43" s="34"/>
    </row>
    <row r="44" spans="1:6" x14ac:dyDescent="0.35">
      <c r="A44" s="34"/>
      <c r="B44" s="9"/>
      <c r="C44" s="19"/>
      <c r="D44" s="25">
        <f t="shared" si="1"/>
        <v>17</v>
      </c>
      <c r="E44" s="190" t="s">
        <v>239</v>
      </c>
      <c r="F44" s="34"/>
    </row>
    <row r="45" spans="1:6" x14ac:dyDescent="0.35">
      <c r="A45" s="34"/>
      <c r="B45" s="9"/>
      <c r="C45" s="19"/>
      <c r="D45" s="25">
        <f t="shared" si="1"/>
        <v>18</v>
      </c>
      <c r="E45" s="190" t="s">
        <v>122</v>
      </c>
      <c r="F45" s="34"/>
    </row>
    <row r="46" spans="1:6" x14ac:dyDescent="0.35">
      <c r="A46" s="34"/>
      <c r="B46" s="9"/>
      <c r="C46" s="19"/>
      <c r="D46" s="25">
        <f t="shared" si="1"/>
        <v>19</v>
      </c>
      <c r="E46" s="4" t="s">
        <v>121</v>
      </c>
      <c r="F46" s="34"/>
    </row>
    <row r="47" spans="1:6" x14ac:dyDescent="0.35">
      <c r="A47" s="34"/>
      <c r="B47" s="9"/>
      <c r="C47" s="19"/>
      <c r="D47" s="25">
        <v>-66</v>
      </c>
      <c r="E47" s="190" t="s">
        <v>522</v>
      </c>
      <c r="F47" s="34"/>
    </row>
    <row r="48" spans="1:6" ht="26" x14ac:dyDescent="0.35">
      <c r="A48" s="41" t="s">
        <v>287</v>
      </c>
      <c r="B48" s="96">
        <f>B28+1</f>
        <v>5</v>
      </c>
      <c r="C48" s="14" t="s">
        <v>276</v>
      </c>
      <c r="D48" s="345" t="s">
        <v>548</v>
      </c>
      <c r="E48" s="346"/>
      <c r="F48" s="35"/>
    </row>
    <row r="49" spans="1:7" x14ac:dyDescent="0.35">
      <c r="A49" s="110" t="s">
        <v>287</v>
      </c>
      <c r="B49" s="251">
        <f>B48+1</f>
        <v>6</v>
      </c>
      <c r="C49" s="323" t="s">
        <v>26</v>
      </c>
      <c r="D49" s="24">
        <v>1</v>
      </c>
      <c r="E49" s="246" t="s">
        <v>4</v>
      </c>
      <c r="F49" s="239"/>
    </row>
    <row r="50" spans="1:7" ht="13.5" customHeight="1" x14ac:dyDescent="0.35">
      <c r="A50" s="34"/>
      <c r="B50" s="9"/>
      <c r="C50" s="342"/>
      <c r="D50" s="25">
        <v>2</v>
      </c>
      <c r="E50" s="243" t="s">
        <v>5</v>
      </c>
      <c r="F50" s="311"/>
      <c r="G50" s="326"/>
    </row>
    <row r="51" spans="1:7" x14ac:dyDescent="0.35">
      <c r="A51" s="34"/>
      <c r="B51" s="9"/>
      <c r="C51" s="342"/>
      <c r="D51" s="25">
        <v>-88</v>
      </c>
      <c r="E51" s="243" t="s">
        <v>7</v>
      </c>
      <c r="F51" s="311"/>
      <c r="G51" s="326"/>
    </row>
    <row r="52" spans="1:7" x14ac:dyDescent="0.35">
      <c r="A52" s="35"/>
      <c r="B52" s="261"/>
      <c r="C52" s="324"/>
      <c r="D52" s="26">
        <v>-99</v>
      </c>
      <c r="E52" s="247" t="s">
        <v>20</v>
      </c>
      <c r="F52" s="35"/>
    </row>
    <row r="53" spans="1:7" x14ac:dyDescent="0.35">
      <c r="A53" s="239" t="s">
        <v>287</v>
      </c>
      <c r="B53" s="251">
        <f>B49+1</f>
        <v>7</v>
      </c>
      <c r="C53" s="320" t="s">
        <v>601</v>
      </c>
      <c r="D53" s="24">
        <v>1</v>
      </c>
      <c r="E53" s="4" t="s">
        <v>610</v>
      </c>
      <c r="F53" s="248"/>
    </row>
    <row r="54" spans="1:7" x14ac:dyDescent="0.35">
      <c r="A54" s="34"/>
      <c r="B54" s="243"/>
      <c r="C54" s="312"/>
      <c r="D54" s="25">
        <f t="shared" ref="D54:D59" si="2">D53+1</f>
        <v>2</v>
      </c>
      <c r="E54" s="4" t="s">
        <v>41</v>
      </c>
      <c r="F54" s="252"/>
    </row>
    <row r="55" spans="1:7" ht="12.75" customHeight="1" x14ac:dyDescent="0.35">
      <c r="A55" s="34"/>
      <c r="B55" s="243"/>
      <c r="C55" s="312"/>
      <c r="D55" s="25">
        <f t="shared" si="2"/>
        <v>3</v>
      </c>
      <c r="E55" s="4" t="s">
        <v>307</v>
      </c>
      <c r="F55" s="34"/>
    </row>
    <row r="56" spans="1:7" x14ac:dyDescent="0.35">
      <c r="A56" s="34"/>
      <c r="B56" s="243"/>
      <c r="C56" s="312"/>
      <c r="D56" s="25">
        <f t="shared" si="2"/>
        <v>4</v>
      </c>
      <c r="E56" s="4" t="s">
        <v>42</v>
      </c>
      <c r="F56" s="34"/>
    </row>
    <row r="57" spans="1:7" x14ac:dyDescent="0.35">
      <c r="A57" s="34"/>
      <c r="B57" s="243"/>
      <c r="C57" s="312"/>
      <c r="D57" s="25">
        <f t="shared" si="2"/>
        <v>5</v>
      </c>
      <c r="E57" s="4" t="s">
        <v>43</v>
      </c>
      <c r="F57" s="34"/>
    </row>
    <row r="58" spans="1:7" ht="26" x14ac:dyDescent="0.35">
      <c r="A58" s="34"/>
      <c r="B58" s="243"/>
      <c r="C58" s="312"/>
      <c r="D58" s="25">
        <f t="shared" si="2"/>
        <v>6</v>
      </c>
      <c r="E58" s="190" t="s">
        <v>39</v>
      </c>
      <c r="F58" s="34"/>
    </row>
    <row r="59" spans="1:7" x14ac:dyDescent="0.35">
      <c r="A59" s="34"/>
      <c r="B59" s="9"/>
      <c r="C59" s="502"/>
      <c r="D59" s="25">
        <f t="shared" si="2"/>
        <v>7</v>
      </c>
      <c r="E59" s="4" t="s">
        <v>40</v>
      </c>
      <c r="F59" s="34"/>
    </row>
    <row r="60" spans="1:7" x14ac:dyDescent="0.35">
      <c r="A60" s="34"/>
      <c r="B60" s="9"/>
      <c r="C60" s="502"/>
      <c r="D60" s="298">
        <v>8</v>
      </c>
      <c r="E60" s="299" t="s">
        <v>611</v>
      </c>
      <c r="F60" s="34"/>
    </row>
    <row r="61" spans="1:7" x14ac:dyDescent="0.35">
      <c r="A61" s="34"/>
      <c r="B61" s="9"/>
      <c r="C61" s="502"/>
      <c r="D61" s="298">
        <v>9</v>
      </c>
      <c r="E61" s="299" t="s">
        <v>612</v>
      </c>
      <c r="F61" s="34"/>
    </row>
    <row r="62" spans="1:7" x14ac:dyDescent="0.35">
      <c r="A62" s="34"/>
      <c r="B62" s="9"/>
      <c r="C62" s="502"/>
      <c r="D62" s="31">
        <v>-99</v>
      </c>
      <c r="E62" s="9" t="s">
        <v>6</v>
      </c>
      <c r="F62" s="34"/>
    </row>
    <row r="63" spans="1:7" x14ac:dyDescent="0.35">
      <c r="A63" s="34"/>
      <c r="B63" s="9"/>
      <c r="C63" s="502"/>
      <c r="D63" s="31">
        <v>-88</v>
      </c>
      <c r="E63" s="9" t="s">
        <v>7</v>
      </c>
      <c r="F63" s="34"/>
    </row>
    <row r="64" spans="1:7" x14ac:dyDescent="0.35">
      <c r="A64" s="34"/>
      <c r="B64" s="9"/>
      <c r="C64" s="502"/>
      <c r="D64" s="31">
        <v>-77</v>
      </c>
      <c r="E64" s="9" t="s">
        <v>8</v>
      </c>
      <c r="F64" s="34"/>
    </row>
    <row r="65" spans="1:6" x14ac:dyDescent="0.35">
      <c r="A65" s="34"/>
      <c r="B65" s="9"/>
      <c r="C65" s="502"/>
      <c r="D65" s="32">
        <v>-66</v>
      </c>
      <c r="E65" s="261" t="s">
        <v>9</v>
      </c>
      <c r="F65" s="34"/>
    </row>
    <row r="66" spans="1:6" x14ac:dyDescent="0.35">
      <c r="A66" s="110" t="s">
        <v>287</v>
      </c>
      <c r="B66" s="251">
        <f>B53+1</f>
        <v>8</v>
      </c>
      <c r="C66" s="323" t="s">
        <v>559</v>
      </c>
      <c r="D66" s="24">
        <v>1</v>
      </c>
      <c r="E66" s="246" t="s">
        <v>4</v>
      </c>
      <c r="F66" s="239"/>
    </row>
    <row r="67" spans="1:6" x14ac:dyDescent="0.35">
      <c r="A67" s="34"/>
      <c r="B67" s="9"/>
      <c r="C67" s="342"/>
      <c r="D67" s="25">
        <v>2</v>
      </c>
      <c r="E67" s="243" t="s">
        <v>5</v>
      </c>
      <c r="F67" s="34" t="s">
        <v>602</v>
      </c>
    </row>
    <row r="68" spans="1:6" x14ac:dyDescent="0.35">
      <c r="A68" s="34"/>
      <c r="B68" s="9"/>
      <c r="C68" s="342"/>
      <c r="D68" s="25">
        <v>-88</v>
      </c>
      <c r="E68" s="243" t="s">
        <v>7</v>
      </c>
      <c r="F68" s="34"/>
    </row>
    <row r="69" spans="1:6" x14ac:dyDescent="0.35">
      <c r="A69" s="35"/>
      <c r="B69" s="261"/>
      <c r="C69" s="324"/>
      <c r="D69" s="26">
        <v>-99</v>
      </c>
      <c r="E69" s="247" t="s">
        <v>20</v>
      </c>
      <c r="F69" s="35"/>
    </row>
    <row r="70" spans="1:6" x14ac:dyDescent="0.35">
      <c r="A70" s="37" t="s">
        <v>287</v>
      </c>
      <c r="B70" s="15">
        <f>B66+1</f>
        <v>9</v>
      </c>
      <c r="C70" s="14" t="s">
        <v>261</v>
      </c>
      <c r="D70" s="345" t="s">
        <v>549</v>
      </c>
      <c r="E70" s="346"/>
      <c r="F70" s="177"/>
    </row>
    <row r="71" spans="1:6" ht="26" x14ac:dyDescent="0.35">
      <c r="A71" s="37" t="s">
        <v>287</v>
      </c>
      <c r="B71" s="15">
        <f>B70+1</f>
        <v>10</v>
      </c>
      <c r="C71" s="14" t="s">
        <v>260</v>
      </c>
      <c r="D71" s="345" t="s">
        <v>549</v>
      </c>
      <c r="E71" s="346"/>
      <c r="F71" s="177"/>
    </row>
    <row r="72" spans="1:6" x14ac:dyDescent="0.35">
      <c r="D72" s="4"/>
    </row>
    <row r="73" spans="1:6" x14ac:dyDescent="0.35">
      <c r="D73" s="4"/>
    </row>
    <row r="74" spans="1:6" x14ac:dyDescent="0.35">
      <c r="A74" s="110" t="s">
        <v>287</v>
      </c>
      <c r="B74" s="251">
        <v>11</v>
      </c>
      <c r="C74" s="323" t="s">
        <v>560</v>
      </c>
      <c r="D74" s="24">
        <v>1</v>
      </c>
      <c r="E74" s="246" t="s">
        <v>4</v>
      </c>
      <c r="F74" s="239"/>
    </row>
    <row r="75" spans="1:6" x14ac:dyDescent="0.35">
      <c r="A75" s="34"/>
      <c r="B75" s="9"/>
      <c r="C75" s="342"/>
      <c r="D75" s="25">
        <v>2</v>
      </c>
      <c r="E75" s="243" t="s">
        <v>5</v>
      </c>
      <c r="F75" s="34" t="s">
        <v>603</v>
      </c>
    </row>
    <row r="76" spans="1:6" x14ac:dyDescent="0.35">
      <c r="A76" s="34"/>
      <c r="B76" s="9"/>
      <c r="C76" s="342"/>
      <c r="D76" s="25">
        <v>-88</v>
      </c>
      <c r="E76" s="243" t="s">
        <v>7</v>
      </c>
      <c r="F76" s="34"/>
    </row>
    <row r="77" spans="1:6" x14ac:dyDescent="0.35">
      <c r="A77" s="35"/>
      <c r="B77" s="261"/>
      <c r="C77" s="324"/>
      <c r="D77" s="26">
        <v>-99</v>
      </c>
      <c r="E77" s="247" t="s">
        <v>20</v>
      </c>
      <c r="F77" s="35"/>
    </row>
    <row r="78" spans="1:6" ht="26" x14ac:dyDescent="0.35">
      <c r="A78" s="37" t="s">
        <v>287</v>
      </c>
      <c r="B78" s="15">
        <v>12</v>
      </c>
      <c r="C78" s="14" t="s">
        <v>561</v>
      </c>
      <c r="D78" s="345" t="s">
        <v>549</v>
      </c>
      <c r="E78" s="346"/>
      <c r="F78" s="177"/>
    </row>
  </sheetData>
  <mergeCells count="36">
    <mergeCell ref="D4:E4"/>
    <mergeCell ref="F4:G5"/>
    <mergeCell ref="D5:E5"/>
    <mergeCell ref="A1:G1"/>
    <mergeCell ref="A2:B2"/>
    <mergeCell ref="D2:E2"/>
    <mergeCell ref="F2:G2"/>
    <mergeCell ref="A3:C3"/>
    <mergeCell ref="A19:F19"/>
    <mergeCell ref="D6:E6"/>
    <mergeCell ref="D7:E7"/>
    <mergeCell ref="D8:E8"/>
    <mergeCell ref="D9:E9"/>
    <mergeCell ref="D10:E10"/>
    <mergeCell ref="D11:E11"/>
    <mergeCell ref="D12:E12"/>
    <mergeCell ref="D13:E13"/>
    <mergeCell ref="D14:E14"/>
    <mergeCell ref="C15:C16"/>
    <mergeCell ref="D17:E17"/>
    <mergeCell ref="F50:G51"/>
    <mergeCell ref="C53:C58"/>
    <mergeCell ref="C59:C65"/>
    <mergeCell ref="C66:C69"/>
    <mergeCell ref="D20:E20"/>
    <mergeCell ref="C21:C24"/>
    <mergeCell ref="F22:G23"/>
    <mergeCell ref="D26:E26"/>
    <mergeCell ref="D27:E27"/>
    <mergeCell ref="C28:C33"/>
    <mergeCell ref="D70:E70"/>
    <mergeCell ref="D71:E71"/>
    <mergeCell ref="C74:C77"/>
    <mergeCell ref="D78:E78"/>
    <mergeCell ref="D48:E48"/>
    <mergeCell ref="C49:C52"/>
  </mergeCells>
  <pageMargins left="0.7" right="0.7" top="0.75" bottom="0.75" header="0.3" footer="0.3"/>
  <pageSetup orientation="portrait" horizontalDpi="1200" verticalDpi="1200" r:id="rId1"/>
  <headerFooter>
    <oddHeader xml:space="preserve">&amp;C&amp;"-,Bold"I-L. Borrowing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7"/>
  <sheetViews>
    <sheetView view="pageLayout" zoomScaleNormal="100" workbookViewId="0">
      <selection activeCell="A9" sqref="A9:F10"/>
    </sheetView>
  </sheetViews>
  <sheetFormatPr defaultColWidth="9.1796875" defaultRowHeight="14" x14ac:dyDescent="0.35"/>
  <cols>
    <col min="1" max="1" width="3" style="240" customWidth="1"/>
    <col min="2" max="2" width="3.453125" style="240" customWidth="1"/>
    <col min="3" max="3" width="37.54296875" style="240" customWidth="1"/>
    <col min="4" max="4" width="9.1796875" style="209"/>
    <col min="5" max="5" width="24.1796875" style="240" customWidth="1"/>
    <col min="6" max="6" width="8.54296875" style="240" customWidth="1"/>
    <col min="7" max="7" width="9.1796875" style="240" hidden="1" customWidth="1"/>
    <col min="8" max="16384" width="9.1796875" style="240"/>
  </cols>
  <sheetData>
    <row r="1" spans="1:7" ht="40.5" customHeight="1" x14ac:dyDescent="0.35">
      <c r="A1" s="532" t="s">
        <v>576</v>
      </c>
      <c r="B1" s="532"/>
      <c r="C1" s="532"/>
      <c r="D1" s="532"/>
      <c r="E1" s="532"/>
      <c r="F1" s="532"/>
    </row>
    <row r="3" spans="1:7" ht="26" x14ac:dyDescent="0.35">
      <c r="A3" s="28" t="s">
        <v>0</v>
      </c>
      <c r="B3" s="29"/>
      <c r="C3" s="30" t="s">
        <v>1</v>
      </c>
      <c r="D3" s="397" t="s">
        <v>2</v>
      </c>
      <c r="E3" s="399"/>
      <c r="F3" s="287" t="s">
        <v>3</v>
      </c>
    </row>
    <row r="4" spans="1:7" ht="15.75" customHeight="1" x14ac:dyDescent="0.35">
      <c r="A4" s="101" t="s">
        <v>279</v>
      </c>
      <c r="B4" s="251" t="s">
        <v>358</v>
      </c>
      <c r="C4" s="323" t="s">
        <v>443</v>
      </c>
      <c r="D4" s="24">
        <v>1</v>
      </c>
      <c r="E4" s="246" t="s">
        <v>4</v>
      </c>
      <c r="F4" s="239"/>
      <c r="G4" s="240" t="s">
        <v>488</v>
      </c>
    </row>
    <row r="5" spans="1:7" ht="14.25" customHeight="1" x14ac:dyDescent="0.35">
      <c r="A5" s="136"/>
      <c r="B5" s="9"/>
      <c r="C5" s="342"/>
      <c r="D5" s="25">
        <v>2</v>
      </c>
      <c r="E5" s="243" t="s">
        <v>5</v>
      </c>
      <c r="F5" s="342" t="s">
        <v>310</v>
      </c>
    </row>
    <row r="6" spans="1:7" x14ac:dyDescent="0.35">
      <c r="A6" s="136"/>
      <c r="B6" s="9"/>
      <c r="C6" s="342"/>
      <c r="D6" s="25">
        <v>-88</v>
      </c>
      <c r="E6" s="243" t="s">
        <v>7</v>
      </c>
      <c r="F6" s="342"/>
    </row>
    <row r="7" spans="1:7" x14ac:dyDescent="0.35">
      <c r="A7" s="137"/>
      <c r="B7" s="261"/>
      <c r="C7" s="324"/>
      <c r="D7" s="26">
        <v>-99</v>
      </c>
      <c r="E7" s="247" t="s">
        <v>20</v>
      </c>
      <c r="F7" s="35"/>
    </row>
    <row r="8" spans="1:7" s="4" customFormat="1" ht="26.25" customHeight="1" x14ac:dyDescent="0.35">
      <c r="A8" s="239" t="s">
        <v>279</v>
      </c>
      <c r="B8" s="251" t="s">
        <v>359</v>
      </c>
      <c r="C8" s="245" t="s">
        <v>444</v>
      </c>
      <c r="D8" s="503" t="s">
        <v>78</v>
      </c>
      <c r="E8" s="504"/>
      <c r="F8" s="246"/>
      <c r="G8" s="4" t="s">
        <v>489</v>
      </c>
    </row>
    <row r="9" spans="1:7" s="4" customFormat="1" ht="26.25" customHeight="1" x14ac:dyDescent="0.35">
      <c r="A9" s="526" t="s">
        <v>532</v>
      </c>
      <c r="B9" s="527"/>
      <c r="C9" s="527"/>
      <c r="D9" s="527"/>
      <c r="E9" s="527"/>
      <c r="F9" s="528"/>
    </row>
    <row r="10" spans="1:7" ht="32.25" customHeight="1" x14ac:dyDescent="0.35">
      <c r="A10" s="529"/>
      <c r="B10" s="530"/>
      <c r="C10" s="530"/>
      <c r="D10" s="530"/>
      <c r="E10" s="530"/>
      <c r="F10" s="531"/>
    </row>
    <row r="11" spans="1:7" ht="29.25" customHeight="1" x14ac:dyDescent="0.35">
      <c r="A11" s="239" t="s">
        <v>279</v>
      </c>
      <c r="B11" s="251">
        <v>2</v>
      </c>
      <c r="C11" s="245" t="s">
        <v>44</v>
      </c>
      <c r="D11" s="524" t="s">
        <v>27</v>
      </c>
      <c r="E11" s="525"/>
      <c r="F11" s="246"/>
      <c r="G11" s="240" t="s">
        <v>396</v>
      </c>
    </row>
    <row r="12" spans="1:7" x14ac:dyDescent="0.35">
      <c r="A12" s="239" t="s">
        <v>279</v>
      </c>
      <c r="B12" s="251">
        <f>B11+1</f>
        <v>3</v>
      </c>
      <c r="C12" s="320" t="s">
        <v>566</v>
      </c>
      <c r="D12" s="24">
        <v>1</v>
      </c>
      <c r="E12" s="250" t="s">
        <v>28</v>
      </c>
      <c r="F12" s="248"/>
      <c r="G12" s="240" t="s">
        <v>397</v>
      </c>
    </row>
    <row r="13" spans="1:7" x14ac:dyDescent="0.35">
      <c r="A13" s="34"/>
      <c r="B13" s="243"/>
      <c r="C13" s="312"/>
      <c r="D13" s="25">
        <v>2</v>
      </c>
      <c r="E13" s="190" t="s">
        <v>29</v>
      </c>
      <c r="F13" s="252"/>
    </row>
    <row r="14" spans="1:7" x14ac:dyDescent="0.35">
      <c r="A14" s="34"/>
      <c r="B14" s="243"/>
      <c r="C14" s="312"/>
      <c r="D14" s="25">
        <v>3</v>
      </c>
      <c r="E14" s="190" t="s">
        <v>30</v>
      </c>
      <c r="F14" s="34"/>
    </row>
    <row r="15" spans="1:7" x14ac:dyDescent="0.35">
      <c r="A15" s="34"/>
      <c r="B15" s="243"/>
      <c r="C15" s="312"/>
      <c r="D15" s="25">
        <v>4</v>
      </c>
      <c r="E15" s="190" t="s">
        <v>31</v>
      </c>
      <c r="F15" s="34"/>
    </row>
    <row r="16" spans="1:7" x14ac:dyDescent="0.35">
      <c r="A16" s="34"/>
      <c r="B16" s="243"/>
      <c r="C16" s="312"/>
      <c r="D16" s="25">
        <v>5</v>
      </c>
      <c r="E16" s="190" t="s">
        <v>32</v>
      </c>
      <c r="F16" s="34"/>
    </row>
    <row r="17" spans="1:7" x14ac:dyDescent="0.35">
      <c r="A17" s="34"/>
      <c r="B17" s="243"/>
      <c r="C17" s="312"/>
      <c r="D17" s="25">
        <v>6</v>
      </c>
      <c r="E17" s="190" t="s">
        <v>33</v>
      </c>
      <c r="F17" s="34"/>
    </row>
    <row r="18" spans="1:7" ht="15" customHeight="1" x14ac:dyDescent="0.35">
      <c r="A18" s="34"/>
      <c r="B18" s="9"/>
      <c r="C18" s="19"/>
      <c r="D18" s="25">
        <v>7</v>
      </c>
      <c r="E18" s="190" t="s">
        <v>34</v>
      </c>
      <c r="F18" s="34"/>
    </row>
    <row r="19" spans="1:7" x14ac:dyDescent="0.35">
      <c r="A19" s="34"/>
      <c r="B19" s="9"/>
      <c r="C19" s="19"/>
      <c r="D19" s="25">
        <v>8</v>
      </c>
      <c r="E19" s="190" t="s">
        <v>35</v>
      </c>
      <c r="F19" s="34"/>
    </row>
    <row r="20" spans="1:7" x14ac:dyDescent="0.35">
      <c r="A20" s="34"/>
      <c r="B20" s="9"/>
      <c r="C20" s="19"/>
      <c r="D20" s="25">
        <v>9</v>
      </c>
      <c r="E20" s="190" t="s">
        <v>36</v>
      </c>
      <c r="F20" s="34"/>
    </row>
    <row r="21" spans="1:7" x14ac:dyDescent="0.35">
      <c r="A21" s="34"/>
      <c r="B21" s="9"/>
      <c r="C21" s="19"/>
      <c r="D21" s="25">
        <v>10</v>
      </c>
      <c r="E21" s="190" t="s">
        <v>37</v>
      </c>
      <c r="F21" s="34"/>
    </row>
    <row r="22" spans="1:7" x14ac:dyDescent="0.35">
      <c r="A22" s="34"/>
      <c r="B22" s="9"/>
      <c r="C22" s="19"/>
      <c r="D22" s="25">
        <v>11</v>
      </c>
      <c r="E22" s="190" t="s">
        <v>38</v>
      </c>
      <c r="F22" s="34"/>
    </row>
    <row r="23" spans="1:7" x14ac:dyDescent="0.35">
      <c r="A23" s="34"/>
      <c r="B23" s="9"/>
      <c r="C23" s="19"/>
      <c r="D23" s="25">
        <v>12</v>
      </c>
      <c r="E23" s="190" t="s">
        <v>238</v>
      </c>
      <c r="F23" s="34"/>
    </row>
    <row r="24" spans="1:7" x14ac:dyDescent="0.35">
      <c r="A24" s="34"/>
      <c r="B24" s="9"/>
      <c r="C24" s="19"/>
      <c r="D24" s="25">
        <v>13</v>
      </c>
      <c r="E24" s="190" t="s">
        <v>118</v>
      </c>
      <c r="F24" s="34"/>
    </row>
    <row r="25" spans="1:7" x14ac:dyDescent="0.35">
      <c r="A25" s="34"/>
      <c r="B25" s="9"/>
      <c r="C25" s="19"/>
      <c r="D25" s="25">
        <v>14</v>
      </c>
      <c r="E25" s="190" t="s">
        <v>119</v>
      </c>
      <c r="F25" s="34"/>
    </row>
    <row r="26" spans="1:7" x14ac:dyDescent="0.35">
      <c r="A26" s="34"/>
      <c r="B26" s="9"/>
      <c r="C26" s="19"/>
      <c r="D26" s="25">
        <v>15</v>
      </c>
      <c r="E26" s="4" t="s">
        <v>120</v>
      </c>
      <c r="F26" s="34"/>
    </row>
    <row r="27" spans="1:7" x14ac:dyDescent="0.35">
      <c r="A27" s="34"/>
      <c r="B27" s="9"/>
      <c r="C27" s="19"/>
      <c r="D27" s="25">
        <v>16</v>
      </c>
      <c r="E27" s="4" t="s">
        <v>239</v>
      </c>
      <c r="F27" s="34"/>
    </row>
    <row r="28" spans="1:7" x14ac:dyDescent="0.35">
      <c r="A28" s="34"/>
      <c r="B28" s="9"/>
      <c r="C28" s="19"/>
      <c r="D28" s="25">
        <v>17</v>
      </c>
      <c r="E28" s="4" t="s">
        <v>122</v>
      </c>
      <c r="F28" s="34"/>
    </row>
    <row r="29" spans="1:7" x14ac:dyDescent="0.35">
      <c r="A29" s="34"/>
      <c r="B29" s="9"/>
      <c r="C29" s="19"/>
      <c r="D29" s="25">
        <v>18</v>
      </c>
      <c r="E29" s="4" t="s">
        <v>121</v>
      </c>
      <c r="F29" s="34"/>
    </row>
    <row r="30" spans="1:7" x14ac:dyDescent="0.35">
      <c r="A30" s="34"/>
      <c r="B30" s="9"/>
      <c r="C30" s="19"/>
      <c r="D30" s="298">
        <v>19</v>
      </c>
      <c r="E30" s="299" t="s">
        <v>613</v>
      </c>
      <c r="F30" s="34"/>
    </row>
    <row r="31" spans="1:7" x14ac:dyDescent="0.35">
      <c r="A31" s="35"/>
      <c r="B31" s="261"/>
      <c r="C31" s="174"/>
      <c r="D31" s="26">
        <v>-66</v>
      </c>
      <c r="E31" s="260" t="s">
        <v>523</v>
      </c>
      <c r="F31" s="35"/>
    </row>
    <row r="32" spans="1:7" ht="45" customHeight="1" x14ac:dyDescent="0.35">
      <c r="A32" s="36" t="s">
        <v>279</v>
      </c>
      <c r="B32" s="13">
        <f>B12+1</f>
        <v>4</v>
      </c>
      <c r="C32" s="248" t="s">
        <v>309</v>
      </c>
      <c r="D32" s="345" t="s">
        <v>548</v>
      </c>
      <c r="E32" s="346"/>
      <c r="F32" s="177"/>
      <c r="G32" s="240" t="s">
        <v>398</v>
      </c>
    </row>
    <row r="33" spans="1:7" ht="15" customHeight="1" x14ac:dyDescent="0.35">
      <c r="A33" s="110" t="s">
        <v>279</v>
      </c>
      <c r="B33" s="251">
        <f>B32+1</f>
        <v>5</v>
      </c>
      <c r="C33" s="323" t="s">
        <v>242</v>
      </c>
      <c r="D33" s="24">
        <v>1</v>
      </c>
      <c r="E33" s="246" t="s">
        <v>4</v>
      </c>
      <c r="F33" s="239"/>
      <c r="G33" s="240" t="s">
        <v>399</v>
      </c>
    </row>
    <row r="34" spans="1:7" x14ac:dyDescent="0.35">
      <c r="A34" s="34"/>
      <c r="B34" s="9"/>
      <c r="C34" s="342"/>
      <c r="D34" s="25">
        <v>2</v>
      </c>
      <c r="E34" s="243" t="s">
        <v>5</v>
      </c>
      <c r="F34" s="34"/>
    </row>
    <row r="35" spans="1:7" x14ac:dyDescent="0.35">
      <c r="A35" s="34"/>
      <c r="B35" s="9"/>
      <c r="C35" s="342"/>
      <c r="D35" s="25">
        <v>-88</v>
      </c>
      <c r="E35" s="243" t="s">
        <v>7</v>
      </c>
      <c r="F35" s="34"/>
    </row>
    <row r="36" spans="1:7" x14ac:dyDescent="0.35">
      <c r="A36" s="35"/>
      <c r="B36" s="261"/>
      <c r="C36" s="324"/>
      <c r="D36" s="26">
        <v>-99</v>
      </c>
      <c r="E36" s="247" t="s">
        <v>20</v>
      </c>
      <c r="F36" s="35"/>
    </row>
    <row r="37" spans="1:7" ht="48.75" customHeight="1" x14ac:dyDescent="0.35">
      <c r="A37" s="37" t="s">
        <v>279</v>
      </c>
      <c r="B37" s="15">
        <f>B33+1</f>
        <v>6</v>
      </c>
      <c r="C37" s="14" t="s">
        <v>243</v>
      </c>
      <c r="D37" s="345" t="s">
        <v>549</v>
      </c>
      <c r="E37" s="346"/>
      <c r="F37" s="241"/>
      <c r="G37" s="240" t="s">
        <v>492</v>
      </c>
    </row>
  </sheetData>
  <mergeCells count="11">
    <mergeCell ref="A9:F10"/>
    <mergeCell ref="A1:F1"/>
    <mergeCell ref="D3:E3"/>
    <mergeCell ref="C4:C7"/>
    <mergeCell ref="F5:F6"/>
    <mergeCell ref="D8:E8"/>
    <mergeCell ref="D11:E11"/>
    <mergeCell ref="C12:C17"/>
    <mergeCell ref="D32:E32"/>
    <mergeCell ref="C33:C36"/>
    <mergeCell ref="D37:E37"/>
  </mergeCells>
  <pageMargins left="0.7" right="0.7" top="0.75" bottom="0.75" header="0.3" footer="0.3"/>
  <pageSetup orientation="portrait" horizontalDpi="1200" verticalDpi="1200" r:id="rId1"/>
  <headerFooter>
    <oddHeader xml:space="preserve">&amp;C&amp;"-,Bold"M. Lending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3"/>
  <sheetViews>
    <sheetView view="pageLayout" zoomScaleNormal="100" workbookViewId="0">
      <selection activeCell="A3" sqref="A3:E3"/>
    </sheetView>
  </sheetViews>
  <sheetFormatPr defaultColWidth="9.1796875" defaultRowHeight="14.5" x14ac:dyDescent="0.35"/>
  <cols>
    <col min="1" max="1" width="3.7265625" style="5" customWidth="1"/>
    <col min="2" max="2" width="3.54296875" style="5" customWidth="1"/>
    <col min="3" max="3" width="44.81640625" style="5" customWidth="1"/>
    <col min="4" max="4" width="5" style="5" customWidth="1"/>
    <col min="5" max="5" width="18.7265625" style="5" customWidth="1"/>
    <col min="6" max="6" width="3.26953125" style="5" customWidth="1"/>
    <col min="7" max="7" width="9.1796875" style="5"/>
    <col min="8" max="8" width="0" style="5" hidden="1" customWidth="1"/>
    <col min="9" max="16384" width="9.1796875" style="5"/>
  </cols>
  <sheetData>
    <row r="1" spans="1:8" ht="15" x14ac:dyDescent="0.35">
      <c r="B1" s="465" t="s">
        <v>477</v>
      </c>
      <c r="C1" s="533"/>
      <c r="D1" s="533"/>
      <c r="E1" s="533"/>
      <c r="F1" s="533"/>
      <c r="G1" s="533"/>
    </row>
    <row r="2" spans="1:8" x14ac:dyDescent="0.35">
      <c r="B2" s="11"/>
      <c r="C2" s="11"/>
      <c r="D2" s="11"/>
      <c r="E2" s="11"/>
      <c r="F2" s="11"/>
      <c r="G2" s="11"/>
    </row>
    <row r="3" spans="1:8" ht="65.25" customHeight="1" x14ac:dyDescent="0.35">
      <c r="A3" s="534" t="s">
        <v>571</v>
      </c>
      <c r="B3" s="535"/>
      <c r="C3" s="535"/>
      <c r="D3" s="535"/>
      <c r="E3" s="536"/>
      <c r="F3" s="11"/>
      <c r="G3" s="11"/>
    </row>
    <row r="4" spans="1:8" x14ac:dyDescent="0.35">
      <c r="A4" s="23"/>
      <c r="B4" s="16"/>
      <c r="C4" s="17"/>
      <c r="D4" s="17"/>
      <c r="E4" s="17"/>
      <c r="F4" s="11"/>
      <c r="G4" s="11"/>
    </row>
    <row r="5" spans="1:8" x14ac:dyDescent="0.35">
      <c r="A5" s="39" t="s">
        <v>476</v>
      </c>
      <c r="B5" s="18" t="s">
        <v>10</v>
      </c>
      <c r="C5" s="323" t="s">
        <v>283</v>
      </c>
      <c r="D5" s="6">
        <v>1</v>
      </c>
      <c r="E5" s="246" t="s">
        <v>4</v>
      </c>
      <c r="F5" s="11"/>
      <c r="G5" s="11"/>
      <c r="H5" s="223" t="s">
        <v>479</v>
      </c>
    </row>
    <row r="6" spans="1:8" x14ac:dyDescent="0.35">
      <c r="A6" s="40"/>
      <c r="B6" s="115"/>
      <c r="C6" s="342"/>
      <c r="D6" s="10">
        <v>2</v>
      </c>
      <c r="E6" s="243" t="s">
        <v>5</v>
      </c>
      <c r="F6" s="11" t="s">
        <v>17</v>
      </c>
      <c r="G6" s="12" t="str">
        <f>B14</f>
        <v>2.a.</v>
      </c>
      <c r="H6" s="223"/>
    </row>
    <row r="7" spans="1:8" x14ac:dyDescent="0.35">
      <c r="A7" s="40"/>
      <c r="B7" s="115"/>
      <c r="C7" s="342"/>
      <c r="D7" s="10">
        <v>-88</v>
      </c>
      <c r="E7" s="243" t="s">
        <v>7</v>
      </c>
      <c r="F7" s="11" t="s">
        <v>17</v>
      </c>
      <c r="G7" s="12" t="str">
        <f>B14</f>
        <v>2.a.</v>
      </c>
      <c r="H7" s="223"/>
    </row>
    <row r="8" spans="1:8" x14ac:dyDescent="0.35">
      <c r="A8" s="41"/>
      <c r="B8" s="96"/>
      <c r="C8" s="174"/>
      <c r="D8" s="7">
        <v>-99</v>
      </c>
      <c r="E8" s="247" t="s">
        <v>20</v>
      </c>
      <c r="F8" s="11" t="s">
        <v>17</v>
      </c>
      <c r="G8" s="12" t="str">
        <f>B14</f>
        <v>2.a.</v>
      </c>
      <c r="H8" s="223"/>
    </row>
    <row r="9" spans="1:8" x14ac:dyDescent="0.35">
      <c r="A9" s="39" t="s">
        <v>476</v>
      </c>
      <c r="B9" s="18" t="s">
        <v>11</v>
      </c>
      <c r="C9" s="50" t="s">
        <v>284</v>
      </c>
      <c r="D9" s="6">
        <v>1</v>
      </c>
      <c r="E9" s="246" t="s">
        <v>21</v>
      </c>
      <c r="F9" s="11"/>
      <c r="G9" s="11"/>
      <c r="H9" s="223" t="s">
        <v>480</v>
      </c>
    </row>
    <row r="10" spans="1:8" ht="19.5" customHeight="1" x14ac:dyDescent="0.35">
      <c r="A10" s="34"/>
      <c r="B10" s="9"/>
      <c r="C10" s="19"/>
      <c r="D10" s="10">
        <f>D9+1</f>
        <v>2</v>
      </c>
      <c r="E10" s="243" t="s">
        <v>22</v>
      </c>
      <c r="F10" s="11"/>
      <c r="G10" s="11"/>
      <c r="H10" s="223"/>
    </row>
    <row r="11" spans="1:8" ht="26" x14ac:dyDescent="0.35">
      <c r="A11" s="34"/>
      <c r="B11" s="9"/>
      <c r="C11" s="11"/>
      <c r="D11" s="10">
        <f>D10+1</f>
        <v>3</v>
      </c>
      <c r="E11" s="243" t="s">
        <v>23</v>
      </c>
      <c r="F11" s="11"/>
      <c r="G11" s="11"/>
      <c r="H11" s="223"/>
    </row>
    <row r="12" spans="1:8" x14ac:dyDescent="0.35">
      <c r="A12" s="34"/>
      <c r="B12" s="9"/>
      <c r="C12" s="11"/>
      <c r="D12" s="10">
        <v>-88</v>
      </c>
      <c r="E12" s="243" t="s">
        <v>7</v>
      </c>
      <c r="F12" s="11"/>
      <c r="G12" s="12"/>
      <c r="H12" s="223"/>
    </row>
    <row r="13" spans="1:8" x14ac:dyDescent="0.35">
      <c r="A13" s="35"/>
      <c r="B13" s="261"/>
      <c r="C13" s="20"/>
      <c r="D13" s="7">
        <v>-99</v>
      </c>
      <c r="E13" s="247" t="s">
        <v>20</v>
      </c>
      <c r="F13" s="11"/>
      <c r="G13" s="12"/>
      <c r="H13" s="223"/>
    </row>
    <row r="14" spans="1:8" x14ac:dyDescent="0.35">
      <c r="A14" s="39" t="s">
        <v>476</v>
      </c>
      <c r="B14" s="18" t="s">
        <v>24</v>
      </c>
      <c r="C14" s="323" t="s">
        <v>285</v>
      </c>
      <c r="D14" s="6">
        <v>1</v>
      </c>
      <c r="E14" s="246" t="s">
        <v>4</v>
      </c>
      <c r="F14" s="11"/>
      <c r="G14" s="11"/>
      <c r="H14" s="223" t="s">
        <v>481</v>
      </c>
    </row>
    <row r="15" spans="1:8" x14ac:dyDescent="0.35">
      <c r="A15" s="40"/>
      <c r="B15" s="115"/>
      <c r="C15" s="342"/>
      <c r="D15" s="10">
        <v>2</v>
      </c>
      <c r="E15" s="243" t="s">
        <v>5</v>
      </c>
      <c r="F15" s="11" t="s">
        <v>17</v>
      </c>
      <c r="G15" s="12" t="str">
        <f>B23</f>
        <v>3.a.</v>
      </c>
      <c r="H15" s="223"/>
    </row>
    <row r="16" spans="1:8" x14ac:dyDescent="0.35">
      <c r="A16" s="40"/>
      <c r="B16" s="115"/>
      <c r="C16" s="342"/>
      <c r="D16" s="10">
        <v>-88</v>
      </c>
      <c r="E16" s="243" t="s">
        <v>7</v>
      </c>
      <c r="F16" s="11" t="s">
        <v>17</v>
      </c>
      <c r="G16" s="12" t="str">
        <f>B23</f>
        <v>3.a.</v>
      </c>
      <c r="H16" s="223"/>
    </row>
    <row r="17" spans="1:8" x14ac:dyDescent="0.35">
      <c r="A17" s="41"/>
      <c r="B17" s="96"/>
      <c r="C17" s="324"/>
      <c r="D17" s="7">
        <v>-99</v>
      </c>
      <c r="E17" s="247" t="s">
        <v>20</v>
      </c>
      <c r="F17" s="11" t="s">
        <v>17</v>
      </c>
      <c r="G17" s="12" t="str">
        <f>B23</f>
        <v>3.a.</v>
      </c>
      <c r="H17" s="223"/>
    </row>
    <row r="18" spans="1:8" ht="17.25" customHeight="1" x14ac:dyDescent="0.35">
      <c r="A18" s="39" t="s">
        <v>476</v>
      </c>
      <c r="B18" s="18" t="s">
        <v>14</v>
      </c>
      <c r="C18" s="50" t="s">
        <v>284</v>
      </c>
      <c r="D18" s="6">
        <v>1</v>
      </c>
      <c r="E18" s="246" t="s">
        <v>21</v>
      </c>
      <c r="F18" s="11"/>
      <c r="G18" s="11"/>
      <c r="H18" s="223" t="s">
        <v>482</v>
      </c>
    </row>
    <row r="19" spans="1:8" ht="16.5" customHeight="1" x14ac:dyDescent="0.35">
      <c r="A19" s="34"/>
      <c r="B19" s="9"/>
      <c r="C19" s="19"/>
      <c r="D19" s="10">
        <f>D18+1</f>
        <v>2</v>
      </c>
      <c r="E19" s="243" t="s">
        <v>22</v>
      </c>
      <c r="F19" s="11"/>
      <c r="G19" s="11"/>
      <c r="H19" s="223"/>
    </row>
    <row r="20" spans="1:8" ht="26" x14ac:dyDescent="0.35">
      <c r="A20" s="34"/>
      <c r="B20" s="9"/>
      <c r="C20" s="11"/>
      <c r="D20" s="10">
        <f>D19+1</f>
        <v>3</v>
      </c>
      <c r="E20" s="243" t="s">
        <v>23</v>
      </c>
      <c r="F20" s="11"/>
      <c r="G20" s="11"/>
      <c r="H20" s="223"/>
    </row>
    <row r="21" spans="1:8" x14ac:dyDescent="0.35">
      <c r="A21" s="34"/>
      <c r="B21" s="9"/>
      <c r="C21" s="11"/>
      <c r="D21" s="10">
        <v>-88</v>
      </c>
      <c r="E21" s="243" t="s">
        <v>7</v>
      </c>
      <c r="F21" s="11"/>
      <c r="G21" s="11"/>
      <c r="H21" s="223"/>
    </row>
    <row r="22" spans="1:8" x14ac:dyDescent="0.35">
      <c r="A22" s="35"/>
      <c r="B22" s="261"/>
      <c r="C22" s="20"/>
      <c r="D22" s="7">
        <v>-99</v>
      </c>
      <c r="E22" s="247" t="s">
        <v>20</v>
      </c>
      <c r="F22" s="11"/>
      <c r="G22" s="11"/>
      <c r="H22" s="223"/>
    </row>
    <row r="23" spans="1:8" x14ac:dyDescent="0.35">
      <c r="A23" s="39" t="s">
        <v>476</v>
      </c>
      <c r="B23" s="18" t="s">
        <v>18</v>
      </c>
      <c r="C23" s="323" t="s">
        <v>286</v>
      </c>
      <c r="D23" s="6">
        <v>1</v>
      </c>
      <c r="E23" s="246" t="s">
        <v>4</v>
      </c>
      <c r="F23" s="11"/>
      <c r="G23" s="11"/>
      <c r="H23" s="223" t="s">
        <v>483</v>
      </c>
    </row>
    <row r="24" spans="1:8" x14ac:dyDescent="0.35">
      <c r="A24" s="40"/>
      <c r="B24" s="115"/>
      <c r="C24" s="342"/>
      <c r="D24" s="10">
        <v>2</v>
      </c>
      <c r="E24" s="243" t="s">
        <v>5</v>
      </c>
      <c r="F24" s="11" t="s">
        <v>17</v>
      </c>
      <c r="G24" s="12" t="s">
        <v>355</v>
      </c>
      <c r="H24" s="223"/>
    </row>
    <row r="25" spans="1:8" x14ac:dyDescent="0.35">
      <c r="A25" s="40"/>
      <c r="B25" s="115"/>
      <c r="C25" s="342"/>
      <c r="D25" s="10">
        <v>-88</v>
      </c>
      <c r="E25" s="243" t="s">
        <v>7</v>
      </c>
      <c r="F25" s="11" t="s">
        <v>17</v>
      </c>
      <c r="G25" s="12" t="s">
        <v>355</v>
      </c>
      <c r="H25" s="223"/>
    </row>
    <row r="26" spans="1:8" x14ac:dyDescent="0.35">
      <c r="A26" s="41"/>
      <c r="B26" s="96"/>
      <c r="C26" s="174"/>
      <c r="D26" s="7">
        <v>-99</v>
      </c>
      <c r="E26" s="247" t="s">
        <v>20</v>
      </c>
      <c r="F26" s="11" t="s">
        <v>17</v>
      </c>
      <c r="G26" s="12" t="s">
        <v>355</v>
      </c>
      <c r="H26" s="223"/>
    </row>
    <row r="27" spans="1:8" x14ac:dyDescent="0.35">
      <c r="A27" s="39" t="s">
        <v>476</v>
      </c>
      <c r="B27" s="18" t="s">
        <v>19</v>
      </c>
      <c r="C27" s="50" t="s">
        <v>284</v>
      </c>
      <c r="D27" s="6">
        <v>1</v>
      </c>
      <c r="E27" s="246" t="s">
        <v>21</v>
      </c>
      <c r="F27" s="11"/>
      <c r="G27" s="11"/>
      <c r="H27" s="223" t="s">
        <v>484</v>
      </c>
    </row>
    <row r="28" spans="1:8" x14ac:dyDescent="0.35">
      <c r="A28" s="42"/>
      <c r="B28" s="262"/>
      <c r="C28" s="19"/>
      <c r="D28" s="10">
        <f>D27+1</f>
        <v>2</v>
      </c>
      <c r="E28" s="243" t="s">
        <v>22</v>
      </c>
      <c r="F28" s="11"/>
      <c r="G28" s="11"/>
      <c r="H28" s="223"/>
    </row>
    <row r="29" spans="1:8" ht="26" x14ac:dyDescent="0.35">
      <c r="A29" s="42"/>
      <c r="B29" s="262"/>
      <c r="C29" s="11"/>
      <c r="D29" s="10">
        <f>D28+1</f>
        <v>3</v>
      </c>
      <c r="E29" s="243" t="s">
        <v>23</v>
      </c>
      <c r="F29" s="11"/>
      <c r="G29" s="11"/>
      <c r="H29" s="223"/>
    </row>
    <row r="30" spans="1:8" x14ac:dyDescent="0.35">
      <c r="A30" s="42"/>
      <c r="B30" s="262"/>
      <c r="C30" s="11"/>
      <c r="D30" s="10">
        <v>-88</v>
      </c>
      <c r="E30" s="243" t="s">
        <v>7</v>
      </c>
      <c r="F30" s="11"/>
      <c r="G30" s="11"/>
      <c r="H30" s="223"/>
    </row>
    <row r="31" spans="1:8" x14ac:dyDescent="0.35">
      <c r="A31" s="43"/>
      <c r="B31" s="21"/>
      <c r="C31" s="20"/>
      <c r="D31" s="7">
        <v>-99</v>
      </c>
      <c r="E31" s="247" t="s">
        <v>20</v>
      </c>
      <c r="F31" s="11"/>
      <c r="G31" s="11"/>
      <c r="H31" s="223"/>
    </row>
    <row r="32" spans="1:8" ht="39" x14ac:dyDescent="0.35">
      <c r="A32" s="44" t="s">
        <v>476</v>
      </c>
      <c r="B32" s="33" t="s">
        <v>355</v>
      </c>
      <c r="C32" s="22" t="s">
        <v>524</v>
      </c>
      <c r="D32" s="444" t="s">
        <v>25</v>
      </c>
      <c r="E32" s="445"/>
      <c r="F32" s="223"/>
      <c r="G32" s="223"/>
      <c r="H32" s="223" t="s">
        <v>485</v>
      </c>
    </row>
    <row r="33" spans="1:8" ht="28.5" customHeight="1" x14ac:dyDescent="0.35">
      <c r="A33" s="44" t="s">
        <v>476</v>
      </c>
      <c r="B33" s="33" t="s">
        <v>356</v>
      </c>
      <c r="C33" s="22" t="s">
        <v>357</v>
      </c>
      <c r="D33" s="444" t="s">
        <v>25</v>
      </c>
      <c r="E33" s="445"/>
      <c r="F33" s="223"/>
      <c r="G33" s="223"/>
      <c r="H33" s="223" t="s">
        <v>486</v>
      </c>
    </row>
  </sheetData>
  <mergeCells count="7">
    <mergeCell ref="D33:E33"/>
    <mergeCell ref="B1:G1"/>
    <mergeCell ref="A3:E3"/>
    <mergeCell ref="C5:C7"/>
    <mergeCell ref="C14:C17"/>
    <mergeCell ref="C23:C25"/>
    <mergeCell ref="D32:E3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view="pageLayout" topLeftCell="A3" zoomScaleNormal="100" workbookViewId="0">
      <selection activeCell="A3" sqref="A3:G3"/>
    </sheetView>
  </sheetViews>
  <sheetFormatPr defaultRowHeight="14.5" x14ac:dyDescent="0.35"/>
  <cols>
    <col min="1" max="1" width="2.1796875" bestFit="1" customWidth="1"/>
    <col min="2" max="2" width="3.453125" customWidth="1"/>
    <col min="3" max="3" width="36.453125" customWidth="1"/>
    <col min="4" max="4" width="5.453125" customWidth="1"/>
    <col min="5" max="5" width="26.7265625" customWidth="1"/>
    <col min="6" max="6" width="2.81640625" bestFit="1" customWidth="1"/>
    <col min="7" max="7" width="4.26953125" customWidth="1"/>
    <col min="8" max="8" width="23.26953125" hidden="1" customWidth="1"/>
  </cols>
  <sheetData>
    <row r="1" spans="1:8" s="5" customFormat="1" ht="40.5" customHeight="1" x14ac:dyDescent="0.35">
      <c r="B1" s="465" t="s">
        <v>614</v>
      </c>
      <c r="C1" s="533"/>
      <c r="D1" s="533"/>
      <c r="E1" s="533"/>
      <c r="F1" s="533"/>
      <c r="G1" s="533"/>
    </row>
    <row r="2" spans="1:8" s="5" customFormat="1" ht="87" customHeight="1" x14ac:dyDescent="0.35">
      <c r="A2" s="534" t="s">
        <v>615</v>
      </c>
      <c r="B2" s="535"/>
      <c r="C2" s="535"/>
      <c r="D2" s="535"/>
      <c r="E2" s="535"/>
      <c r="F2" s="535"/>
      <c r="G2" s="536"/>
    </row>
    <row r="3" spans="1:8" s="5" customFormat="1" ht="72.75" customHeight="1" x14ac:dyDescent="0.35">
      <c r="A3" s="534" t="s">
        <v>616</v>
      </c>
      <c r="B3" s="535"/>
      <c r="C3" s="535"/>
      <c r="D3" s="535"/>
      <c r="E3" s="535"/>
      <c r="F3" s="535"/>
      <c r="G3" s="536"/>
    </row>
    <row r="4" spans="1:8" s="5" customFormat="1" x14ac:dyDescent="0.35">
      <c r="A4" s="23"/>
      <c r="B4" s="16"/>
      <c r="C4" s="17"/>
      <c r="D4" s="17"/>
      <c r="E4" s="17"/>
      <c r="F4" s="11"/>
      <c r="G4" s="11"/>
    </row>
    <row r="5" spans="1:8" s="5" customFormat="1" ht="15" customHeight="1" x14ac:dyDescent="0.35">
      <c r="A5" s="426" t="s">
        <v>0</v>
      </c>
      <c r="B5" s="537"/>
      <c r="C5" s="30" t="s">
        <v>1</v>
      </c>
      <c r="D5" s="397" t="s">
        <v>2</v>
      </c>
      <c r="E5" s="399"/>
      <c r="F5" s="386" t="s">
        <v>3</v>
      </c>
      <c r="G5" s="393"/>
    </row>
    <row r="6" spans="1:8" s="5" customFormat="1" x14ac:dyDescent="0.35">
      <c r="A6" s="301" t="s">
        <v>617</v>
      </c>
      <c r="B6" s="18">
        <v>1</v>
      </c>
      <c r="C6" s="323" t="s">
        <v>618</v>
      </c>
      <c r="D6" s="6">
        <v>1</v>
      </c>
      <c r="E6" s="250" t="s">
        <v>619</v>
      </c>
      <c r="F6" s="138"/>
      <c r="G6" s="48"/>
      <c r="H6" s="243" t="s">
        <v>620</v>
      </c>
    </row>
    <row r="7" spans="1:8" s="5" customFormat="1" x14ac:dyDescent="0.35">
      <c r="A7" s="102"/>
      <c r="B7" s="115"/>
      <c r="C7" s="342"/>
      <c r="D7" s="10">
        <f>D6+1</f>
        <v>2</v>
      </c>
      <c r="E7" s="190" t="s">
        <v>621</v>
      </c>
      <c r="F7" s="138"/>
      <c r="G7" s="48"/>
    </row>
    <row r="8" spans="1:8" s="5" customFormat="1" x14ac:dyDescent="0.35">
      <c r="A8" s="102"/>
      <c r="B8" s="115"/>
      <c r="C8" s="19"/>
      <c r="D8" s="10">
        <f>D7+1</f>
        <v>3</v>
      </c>
      <c r="E8" s="190" t="s">
        <v>622</v>
      </c>
      <c r="F8" s="138"/>
      <c r="G8" s="48"/>
    </row>
    <row r="9" spans="1:8" s="5" customFormat="1" x14ac:dyDescent="0.35">
      <c r="A9" s="102"/>
      <c r="B9" s="115"/>
      <c r="C9" s="19"/>
      <c r="D9" s="10">
        <f>D8+1</f>
        <v>4</v>
      </c>
      <c r="E9" s="190" t="s">
        <v>623</v>
      </c>
      <c r="F9" s="138"/>
      <c r="G9" s="48"/>
    </row>
    <row r="10" spans="1:8" s="5" customFormat="1" x14ac:dyDescent="0.35">
      <c r="A10" s="102"/>
      <c r="B10" s="115"/>
      <c r="C10" s="19"/>
      <c r="D10" s="10">
        <f>D9+1</f>
        <v>5</v>
      </c>
      <c r="E10" s="190" t="s">
        <v>624</v>
      </c>
      <c r="F10" s="138"/>
      <c r="G10" s="48"/>
    </row>
    <row r="11" spans="1:8" s="5" customFormat="1" x14ac:dyDescent="0.35">
      <c r="A11" s="102"/>
      <c r="B11" s="115"/>
      <c r="C11" s="19"/>
      <c r="D11" s="10">
        <v>-88</v>
      </c>
      <c r="E11" s="190" t="s">
        <v>7</v>
      </c>
      <c r="F11" s="138"/>
      <c r="G11" s="48"/>
    </row>
    <row r="12" spans="1:8" x14ac:dyDescent="0.35">
      <c r="A12" s="301" t="s">
        <v>617</v>
      </c>
      <c r="B12" s="18">
        <f>B6+1</f>
        <v>2</v>
      </c>
      <c r="C12" s="323" t="s">
        <v>625</v>
      </c>
      <c r="D12" s="6">
        <v>1</v>
      </c>
      <c r="E12" s="250" t="s">
        <v>619</v>
      </c>
      <c r="F12" s="302" t="s">
        <v>17</v>
      </c>
      <c r="G12" s="18">
        <f>B24</f>
        <v>4</v>
      </c>
      <c r="H12" s="243" t="s">
        <v>626</v>
      </c>
    </row>
    <row r="13" spans="1:8" x14ac:dyDescent="0.35">
      <c r="A13" s="102"/>
      <c r="B13" s="115"/>
      <c r="C13" s="342"/>
      <c r="D13" s="10">
        <f>D12+1</f>
        <v>2</v>
      </c>
      <c r="E13" s="190" t="s">
        <v>621</v>
      </c>
      <c r="F13" s="303"/>
      <c r="G13" s="304"/>
    </row>
    <row r="14" spans="1:8" x14ac:dyDescent="0.35">
      <c r="A14" s="102"/>
      <c r="B14" s="115"/>
      <c r="C14" s="19"/>
      <c r="D14" s="10">
        <f>D13+1</f>
        <v>3</v>
      </c>
      <c r="E14" s="190" t="s">
        <v>622</v>
      </c>
      <c r="F14" s="303"/>
      <c r="G14" s="304"/>
    </row>
    <row r="15" spans="1:8" x14ac:dyDescent="0.35">
      <c r="A15" s="102"/>
      <c r="B15" s="115"/>
      <c r="C15" s="19"/>
      <c r="D15" s="10">
        <f>D14+1</f>
        <v>4</v>
      </c>
      <c r="E15" s="190" t="s">
        <v>623</v>
      </c>
      <c r="F15" s="303"/>
      <c r="G15" s="304"/>
    </row>
    <row r="16" spans="1:8" x14ac:dyDescent="0.35">
      <c r="A16" s="102"/>
      <c r="B16" s="115"/>
      <c r="C16" s="19"/>
      <c r="D16" s="10">
        <f>D15+1</f>
        <v>5</v>
      </c>
      <c r="E16" s="190" t="s">
        <v>624</v>
      </c>
      <c r="F16" s="303"/>
      <c r="G16" s="304"/>
    </row>
    <row r="17" spans="1:8" x14ac:dyDescent="0.35">
      <c r="A17" s="102"/>
      <c r="B17" s="115"/>
      <c r="C17" s="19"/>
      <c r="D17" s="10">
        <v>-88</v>
      </c>
      <c r="E17" s="190" t="s">
        <v>7</v>
      </c>
      <c r="F17" s="305"/>
      <c r="G17" s="306"/>
    </row>
    <row r="18" spans="1:8" x14ac:dyDescent="0.35">
      <c r="A18" s="301" t="s">
        <v>617</v>
      </c>
      <c r="B18" s="18">
        <f>B12+1</f>
        <v>3</v>
      </c>
      <c r="C18" s="323" t="s">
        <v>627</v>
      </c>
      <c r="D18" s="6">
        <v>1</v>
      </c>
      <c r="E18" s="250" t="s">
        <v>619</v>
      </c>
      <c r="F18" s="303"/>
      <c r="G18" s="304"/>
      <c r="H18" s="243" t="s">
        <v>628</v>
      </c>
    </row>
    <row r="19" spans="1:8" x14ac:dyDescent="0.35">
      <c r="A19" s="102"/>
      <c r="B19" s="115"/>
      <c r="C19" s="342"/>
      <c r="D19" s="10">
        <f>D18+1</f>
        <v>2</v>
      </c>
      <c r="E19" s="190" t="s">
        <v>621</v>
      </c>
      <c r="F19" s="303"/>
      <c r="G19" s="304"/>
    </row>
    <row r="20" spans="1:8" x14ac:dyDescent="0.35">
      <c r="A20" s="102"/>
      <c r="B20" s="115"/>
      <c r="C20" s="19"/>
      <c r="D20" s="10">
        <f>D19+1</f>
        <v>3</v>
      </c>
      <c r="E20" s="190" t="s">
        <v>622</v>
      </c>
      <c r="F20" s="303"/>
      <c r="G20" s="304"/>
    </row>
    <row r="21" spans="1:8" x14ac:dyDescent="0.35">
      <c r="A21" s="102"/>
      <c r="B21" s="115"/>
      <c r="C21" s="19"/>
      <c r="D21" s="10">
        <f>D20+1</f>
        <v>4</v>
      </c>
      <c r="E21" s="190" t="s">
        <v>623</v>
      </c>
      <c r="F21" s="303"/>
      <c r="G21" s="304"/>
    </row>
    <row r="22" spans="1:8" x14ac:dyDescent="0.35">
      <c r="A22" s="102"/>
      <c r="B22" s="115"/>
      <c r="C22" s="19"/>
      <c r="D22" s="10">
        <f>D21+1</f>
        <v>5</v>
      </c>
      <c r="E22" s="190" t="s">
        <v>624</v>
      </c>
      <c r="F22" s="303"/>
      <c r="G22" s="304"/>
    </row>
    <row r="23" spans="1:8" x14ac:dyDescent="0.35">
      <c r="A23" s="102"/>
      <c r="B23" s="115"/>
      <c r="C23" s="19"/>
      <c r="D23" s="10">
        <v>-88</v>
      </c>
      <c r="E23" s="190" t="s">
        <v>7</v>
      </c>
      <c r="F23" s="303"/>
      <c r="G23" s="304"/>
    </row>
    <row r="24" spans="1:8" x14ac:dyDescent="0.35">
      <c r="A24" s="301" t="s">
        <v>617</v>
      </c>
      <c r="B24" s="18">
        <f>B18+1</f>
        <v>4</v>
      </c>
      <c r="C24" s="50" t="s">
        <v>629</v>
      </c>
      <c r="D24" s="6">
        <v>1</v>
      </c>
      <c r="E24" s="250" t="s">
        <v>619</v>
      </c>
      <c r="F24" s="307"/>
      <c r="G24" s="308"/>
      <c r="H24" s="243" t="s">
        <v>630</v>
      </c>
    </row>
    <row r="25" spans="1:8" x14ac:dyDescent="0.35">
      <c r="A25" s="102"/>
      <c r="B25" s="115"/>
      <c r="C25" s="19"/>
      <c r="D25" s="10">
        <f>D24+1</f>
        <v>2</v>
      </c>
      <c r="E25" s="190" t="s">
        <v>621</v>
      </c>
      <c r="F25" s="303"/>
      <c r="G25" s="304"/>
    </row>
    <row r="26" spans="1:8" x14ac:dyDescent="0.35">
      <c r="A26" s="102"/>
      <c r="B26" s="115"/>
      <c r="C26" s="19"/>
      <c r="D26" s="10">
        <f>D25+1</f>
        <v>3</v>
      </c>
      <c r="E26" s="190" t="s">
        <v>622</v>
      </c>
      <c r="F26" s="303"/>
      <c r="G26" s="304"/>
    </row>
    <row r="27" spans="1:8" x14ac:dyDescent="0.35">
      <c r="A27" s="102"/>
      <c r="B27" s="115"/>
      <c r="C27" s="19"/>
      <c r="D27" s="10">
        <f>D26+1</f>
        <v>4</v>
      </c>
      <c r="E27" s="190" t="s">
        <v>623</v>
      </c>
      <c r="F27" s="303"/>
      <c r="G27" s="304"/>
    </row>
    <row r="28" spans="1:8" x14ac:dyDescent="0.35">
      <c r="A28" s="102"/>
      <c r="B28" s="115"/>
      <c r="C28" s="19"/>
      <c r="D28" s="10">
        <f>D27+1</f>
        <v>5</v>
      </c>
      <c r="E28" s="190" t="s">
        <v>624</v>
      </c>
      <c r="F28" s="303"/>
      <c r="G28" s="304"/>
    </row>
    <row r="29" spans="1:8" x14ac:dyDescent="0.35">
      <c r="A29" s="102"/>
      <c r="B29" s="115"/>
      <c r="C29" s="19"/>
      <c r="D29" s="10">
        <v>-88</v>
      </c>
      <c r="E29" s="190" t="s">
        <v>7</v>
      </c>
      <c r="F29" s="305"/>
      <c r="G29" s="306"/>
    </row>
    <row r="30" spans="1:8" x14ac:dyDescent="0.35">
      <c r="A30" s="301" t="s">
        <v>617</v>
      </c>
      <c r="B30" s="18">
        <f>B24+1</f>
        <v>5</v>
      </c>
      <c r="C30" s="323" t="s">
        <v>631</v>
      </c>
      <c r="D30" s="6">
        <v>1</v>
      </c>
      <c r="E30" s="250" t="s">
        <v>619</v>
      </c>
      <c r="F30" s="138" t="s">
        <v>17</v>
      </c>
      <c r="G30" s="48">
        <f>B42</f>
        <v>7</v>
      </c>
      <c r="H30" s="243" t="s">
        <v>632</v>
      </c>
    </row>
    <row r="31" spans="1:8" x14ac:dyDescent="0.35">
      <c r="A31" s="102"/>
      <c r="B31" s="115"/>
      <c r="C31" s="342"/>
      <c r="D31" s="10">
        <f>D30+1</f>
        <v>2</v>
      </c>
      <c r="E31" s="190" t="s">
        <v>621</v>
      </c>
      <c r="F31" s="303"/>
      <c r="G31" s="304"/>
    </row>
    <row r="32" spans="1:8" x14ac:dyDescent="0.35">
      <c r="A32" s="102"/>
      <c r="B32" s="115"/>
      <c r="C32" s="19"/>
      <c r="D32" s="10">
        <f>D31+1</f>
        <v>3</v>
      </c>
      <c r="E32" s="190" t="s">
        <v>622</v>
      </c>
      <c r="F32" s="303"/>
      <c r="G32" s="304"/>
    </row>
    <row r="33" spans="1:8" x14ac:dyDescent="0.35">
      <c r="A33" s="102"/>
      <c r="B33" s="115"/>
      <c r="C33" s="19"/>
      <c r="D33" s="10">
        <f>D32+1</f>
        <v>4</v>
      </c>
      <c r="E33" s="190" t="s">
        <v>623</v>
      </c>
      <c r="F33" s="303"/>
      <c r="G33" s="304"/>
    </row>
    <row r="34" spans="1:8" x14ac:dyDescent="0.35">
      <c r="A34" s="102"/>
      <c r="B34" s="115"/>
      <c r="C34" s="19"/>
      <c r="D34" s="10">
        <f>D33+1</f>
        <v>5</v>
      </c>
      <c r="E34" s="190" t="s">
        <v>624</v>
      </c>
      <c r="F34" s="303"/>
      <c r="G34" s="304"/>
    </row>
    <row r="35" spans="1:8" x14ac:dyDescent="0.35">
      <c r="A35" s="102"/>
      <c r="B35" s="115"/>
      <c r="C35" s="19"/>
      <c r="D35" s="10">
        <v>-88</v>
      </c>
      <c r="E35" s="190" t="s">
        <v>7</v>
      </c>
      <c r="F35" s="303"/>
      <c r="G35" s="304"/>
    </row>
    <row r="36" spans="1:8" x14ac:dyDescent="0.35">
      <c r="A36" s="301" t="s">
        <v>617</v>
      </c>
      <c r="B36" s="18">
        <f>B30+1</f>
        <v>6</v>
      </c>
      <c r="C36" s="323" t="s">
        <v>633</v>
      </c>
      <c r="D36" s="6">
        <v>1</v>
      </c>
      <c r="E36" s="250" t="s">
        <v>619</v>
      </c>
      <c r="F36" s="307"/>
      <c r="G36" s="308"/>
      <c r="H36" s="243" t="s">
        <v>634</v>
      </c>
    </row>
    <row r="37" spans="1:8" x14ac:dyDescent="0.35">
      <c r="A37" s="102"/>
      <c r="B37" s="115"/>
      <c r="C37" s="342"/>
      <c r="D37" s="10">
        <f>D36+1</f>
        <v>2</v>
      </c>
      <c r="E37" s="190" t="s">
        <v>621</v>
      </c>
      <c r="F37" s="303"/>
      <c r="G37" s="304"/>
    </row>
    <row r="38" spans="1:8" x14ac:dyDescent="0.35">
      <c r="A38" s="102"/>
      <c r="B38" s="115"/>
      <c r="C38" s="19"/>
      <c r="D38" s="10">
        <f>D37+1</f>
        <v>3</v>
      </c>
      <c r="E38" s="190" t="s">
        <v>622</v>
      </c>
      <c r="F38" s="303"/>
      <c r="G38" s="304"/>
    </row>
    <row r="39" spans="1:8" x14ac:dyDescent="0.35">
      <c r="A39" s="102"/>
      <c r="B39" s="115"/>
      <c r="C39" s="19"/>
      <c r="D39" s="10">
        <f>D38+1</f>
        <v>4</v>
      </c>
      <c r="E39" s="190" t="s">
        <v>623</v>
      </c>
      <c r="F39" s="303"/>
      <c r="G39" s="304"/>
    </row>
    <row r="40" spans="1:8" x14ac:dyDescent="0.35">
      <c r="A40" s="102"/>
      <c r="B40" s="115"/>
      <c r="C40" s="19"/>
      <c r="D40" s="10">
        <f>D39+1</f>
        <v>5</v>
      </c>
      <c r="E40" s="190" t="s">
        <v>624</v>
      </c>
      <c r="F40" s="303"/>
      <c r="G40" s="304"/>
    </row>
    <row r="41" spans="1:8" x14ac:dyDescent="0.35">
      <c r="A41" s="130"/>
      <c r="B41" s="96"/>
      <c r="C41" s="174"/>
      <c r="D41" s="7">
        <v>-88</v>
      </c>
      <c r="E41" s="260" t="s">
        <v>7</v>
      </c>
      <c r="F41" s="305"/>
      <c r="G41" s="306"/>
    </row>
    <row r="42" spans="1:8" x14ac:dyDescent="0.35">
      <c r="A42" s="301" t="s">
        <v>617</v>
      </c>
      <c r="B42" s="18">
        <f>B36+1</f>
        <v>7</v>
      </c>
      <c r="C42" s="323" t="s">
        <v>635</v>
      </c>
      <c r="D42" s="6">
        <v>1</v>
      </c>
      <c r="E42" s="250" t="s">
        <v>619</v>
      </c>
      <c r="F42" s="307"/>
      <c r="G42" s="308"/>
      <c r="H42" s="243" t="s">
        <v>636</v>
      </c>
    </row>
    <row r="43" spans="1:8" x14ac:dyDescent="0.35">
      <c r="A43" s="102"/>
      <c r="B43" s="115"/>
      <c r="C43" s="342"/>
      <c r="D43" s="10">
        <f>D42+1</f>
        <v>2</v>
      </c>
      <c r="E43" s="190" t="s">
        <v>621</v>
      </c>
      <c r="F43" s="303"/>
      <c r="G43" s="304"/>
    </row>
    <row r="44" spans="1:8" x14ac:dyDescent="0.35">
      <c r="A44" s="102"/>
      <c r="B44" s="115"/>
      <c r="C44" s="19"/>
      <c r="D44" s="10">
        <f>D43+1</f>
        <v>3</v>
      </c>
      <c r="E44" s="190" t="s">
        <v>622</v>
      </c>
      <c r="F44" s="303"/>
      <c r="G44" s="304"/>
    </row>
    <row r="45" spans="1:8" x14ac:dyDescent="0.35">
      <c r="A45" s="102"/>
      <c r="B45" s="115"/>
      <c r="C45" s="19"/>
      <c r="D45" s="10">
        <f>D44+1</f>
        <v>4</v>
      </c>
      <c r="E45" s="190" t="s">
        <v>623</v>
      </c>
      <c r="F45" s="303"/>
      <c r="G45" s="304"/>
    </row>
    <row r="46" spans="1:8" x14ac:dyDescent="0.35">
      <c r="A46" s="102"/>
      <c r="B46" s="115"/>
      <c r="C46" s="19"/>
      <c r="D46" s="10">
        <f>D45+1</f>
        <v>5</v>
      </c>
      <c r="E46" s="190" t="s">
        <v>624</v>
      </c>
      <c r="F46" s="303"/>
      <c r="G46" s="304"/>
    </row>
    <row r="47" spans="1:8" x14ac:dyDescent="0.35">
      <c r="A47" s="130"/>
      <c r="B47" s="96"/>
      <c r="C47" s="174"/>
      <c r="D47" s="7">
        <v>-88</v>
      </c>
      <c r="E47" s="260" t="s">
        <v>7</v>
      </c>
      <c r="F47" s="305"/>
      <c r="G47" s="306"/>
    </row>
    <row r="48" spans="1:8" x14ac:dyDescent="0.35">
      <c r="A48" s="301" t="s">
        <v>617</v>
      </c>
      <c r="B48" s="18">
        <f>B42+1</f>
        <v>8</v>
      </c>
      <c r="C48" s="323" t="s">
        <v>637</v>
      </c>
      <c r="D48" s="6">
        <v>1</v>
      </c>
      <c r="E48" s="250" t="s">
        <v>619</v>
      </c>
      <c r="F48" s="307"/>
      <c r="G48" s="308"/>
      <c r="H48" s="243" t="s">
        <v>638</v>
      </c>
    </row>
    <row r="49" spans="1:8" x14ac:dyDescent="0.35">
      <c r="A49" s="102"/>
      <c r="B49" s="115"/>
      <c r="C49" s="342"/>
      <c r="D49" s="10">
        <f>D48+1</f>
        <v>2</v>
      </c>
      <c r="E49" s="190" t="s">
        <v>621</v>
      </c>
      <c r="F49" s="303"/>
      <c r="G49" s="304"/>
    </row>
    <row r="50" spans="1:8" x14ac:dyDescent="0.35">
      <c r="A50" s="102"/>
      <c r="B50" s="115"/>
      <c r="C50" s="19"/>
      <c r="D50" s="10">
        <f>D49+1</f>
        <v>3</v>
      </c>
      <c r="E50" s="190" t="s">
        <v>622</v>
      </c>
      <c r="F50" s="303"/>
      <c r="G50" s="304"/>
    </row>
    <row r="51" spans="1:8" x14ac:dyDescent="0.35">
      <c r="A51" s="102"/>
      <c r="B51" s="115"/>
      <c r="C51" s="19"/>
      <c r="D51" s="10">
        <f>D50+1</f>
        <v>4</v>
      </c>
      <c r="E51" s="190" t="s">
        <v>623</v>
      </c>
      <c r="F51" s="303"/>
      <c r="G51" s="304"/>
    </row>
    <row r="52" spans="1:8" x14ac:dyDescent="0.35">
      <c r="A52" s="102"/>
      <c r="B52" s="115"/>
      <c r="C52" s="19"/>
      <c r="D52" s="10">
        <f>D51+1</f>
        <v>5</v>
      </c>
      <c r="E52" s="190" t="s">
        <v>624</v>
      </c>
      <c r="F52" s="303"/>
      <c r="G52" s="304"/>
    </row>
    <row r="53" spans="1:8" x14ac:dyDescent="0.35">
      <c r="A53" s="102"/>
      <c r="B53" s="115"/>
      <c r="C53" s="19"/>
      <c r="D53" s="10">
        <v>-88</v>
      </c>
      <c r="E53" s="190" t="s">
        <v>7</v>
      </c>
      <c r="F53" s="305"/>
      <c r="G53" s="306"/>
    </row>
    <row r="54" spans="1:8" x14ac:dyDescent="0.35">
      <c r="A54" s="301" t="s">
        <v>617</v>
      </c>
      <c r="B54" s="18">
        <f>B48+1</f>
        <v>9</v>
      </c>
      <c r="C54" s="323" t="s">
        <v>639</v>
      </c>
      <c r="D54" s="6">
        <v>1</v>
      </c>
      <c r="E54" s="250" t="s">
        <v>619</v>
      </c>
      <c r="F54" s="303"/>
      <c r="G54" s="304"/>
      <c r="H54" s="243" t="s">
        <v>640</v>
      </c>
    </row>
    <row r="55" spans="1:8" x14ac:dyDescent="0.35">
      <c r="A55" s="102"/>
      <c r="B55" s="115"/>
      <c r="C55" s="342"/>
      <c r="D55" s="10">
        <f>D54+1</f>
        <v>2</v>
      </c>
      <c r="E55" s="190" t="s">
        <v>621</v>
      </c>
      <c r="F55" s="303"/>
      <c r="G55" s="304"/>
    </row>
    <row r="56" spans="1:8" x14ac:dyDescent="0.35">
      <c r="A56" s="102"/>
      <c r="B56" s="115"/>
      <c r="C56" s="19"/>
      <c r="D56" s="10">
        <f>D55+1</f>
        <v>3</v>
      </c>
      <c r="E56" s="190" t="s">
        <v>622</v>
      </c>
      <c r="F56" s="303"/>
      <c r="G56" s="304"/>
    </row>
    <row r="57" spans="1:8" x14ac:dyDescent="0.35">
      <c r="A57" s="102"/>
      <c r="B57" s="115"/>
      <c r="C57" s="19"/>
      <c r="D57" s="10">
        <f>D56+1</f>
        <v>4</v>
      </c>
      <c r="E57" s="190" t="s">
        <v>623</v>
      </c>
      <c r="F57" s="303"/>
      <c r="G57" s="304"/>
    </row>
    <row r="58" spans="1:8" x14ac:dyDescent="0.35">
      <c r="A58" s="102"/>
      <c r="B58" s="115"/>
      <c r="C58" s="19"/>
      <c r="D58" s="10">
        <f>D57+1</f>
        <v>5</v>
      </c>
      <c r="E58" s="190" t="s">
        <v>624</v>
      </c>
      <c r="F58" s="303"/>
      <c r="G58" s="304"/>
    </row>
    <row r="59" spans="1:8" x14ac:dyDescent="0.35">
      <c r="A59" s="102"/>
      <c r="B59" s="115"/>
      <c r="C59" s="19"/>
      <c r="D59" s="10">
        <v>-88</v>
      </c>
      <c r="E59" s="190" t="s">
        <v>7</v>
      </c>
      <c r="F59" s="303"/>
      <c r="G59" s="304"/>
    </row>
    <row r="60" spans="1:8" x14ac:dyDescent="0.35">
      <c r="A60" s="301" t="s">
        <v>617</v>
      </c>
      <c r="B60" s="18">
        <f>B54+1</f>
        <v>10</v>
      </c>
      <c r="C60" s="323" t="s">
        <v>641</v>
      </c>
      <c r="D60" s="6">
        <v>1</v>
      </c>
      <c r="E60" s="250" t="s">
        <v>619</v>
      </c>
      <c r="F60" s="307"/>
      <c r="G60" s="308"/>
      <c r="H60" s="243" t="s">
        <v>642</v>
      </c>
    </row>
    <row r="61" spans="1:8" x14ac:dyDescent="0.35">
      <c r="A61" s="102"/>
      <c r="B61" s="115"/>
      <c r="C61" s="342"/>
      <c r="D61" s="10">
        <f>D60+1</f>
        <v>2</v>
      </c>
      <c r="E61" s="190" t="s">
        <v>621</v>
      </c>
      <c r="F61" s="303"/>
      <c r="G61" s="304"/>
    </row>
    <row r="62" spans="1:8" x14ac:dyDescent="0.35">
      <c r="A62" s="102"/>
      <c r="B62" s="115"/>
      <c r="C62" s="19"/>
      <c r="D62" s="10">
        <f>D61+1</f>
        <v>3</v>
      </c>
      <c r="E62" s="190" t="s">
        <v>622</v>
      </c>
      <c r="F62" s="303"/>
      <c r="G62" s="304"/>
    </row>
    <row r="63" spans="1:8" x14ac:dyDescent="0.35">
      <c r="A63" s="102"/>
      <c r="B63" s="115"/>
      <c r="C63" s="19"/>
      <c r="D63" s="10">
        <f>D62+1</f>
        <v>4</v>
      </c>
      <c r="E63" s="190" t="s">
        <v>623</v>
      </c>
      <c r="F63" s="303"/>
      <c r="G63" s="304"/>
    </row>
    <row r="64" spans="1:8" x14ac:dyDescent="0.35">
      <c r="A64" s="102"/>
      <c r="B64" s="115"/>
      <c r="C64" s="19"/>
      <c r="D64" s="10">
        <f>D63+1</f>
        <v>5</v>
      </c>
      <c r="E64" s="190" t="s">
        <v>624</v>
      </c>
      <c r="F64" s="303"/>
      <c r="G64" s="304"/>
    </row>
    <row r="65" spans="1:7" x14ac:dyDescent="0.35">
      <c r="A65" s="130"/>
      <c r="B65" s="96"/>
      <c r="C65" s="174"/>
      <c r="D65" s="7">
        <v>-88</v>
      </c>
      <c r="E65" s="260" t="s">
        <v>7</v>
      </c>
      <c r="F65" s="305"/>
      <c r="G65" s="306"/>
    </row>
  </sheetData>
  <mergeCells count="15">
    <mergeCell ref="B1:G1"/>
    <mergeCell ref="A2:G2"/>
    <mergeCell ref="A3:G3"/>
    <mergeCell ref="A5:B5"/>
    <mergeCell ref="D5:E5"/>
    <mergeCell ref="F5:G5"/>
    <mergeCell ref="C48:C49"/>
    <mergeCell ref="C54:C55"/>
    <mergeCell ref="C60:C61"/>
    <mergeCell ref="C6:C7"/>
    <mergeCell ref="C12:C13"/>
    <mergeCell ref="C18:C19"/>
    <mergeCell ref="C30:C31"/>
    <mergeCell ref="C36:C37"/>
    <mergeCell ref="C42:C43"/>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1"/>
  <sheetViews>
    <sheetView tabSelected="1" view="pageLayout" zoomScaleNormal="100" workbookViewId="0">
      <selection activeCell="Q5" sqref="Q5"/>
    </sheetView>
  </sheetViews>
  <sheetFormatPr defaultRowHeight="14.5" x14ac:dyDescent="0.35"/>
  <cols>
    <col min="1" max="1" width="3.1796875" customWidth="1"/>
    <col min="2" max="2" width="3.26953125" bestFit="1" customWidth="1"/>
    <col min="3" max="3" width="29.1796875" customWidth="1"/>
    <col min="4" max="4" width="3.7265625" customWidth="1"/>
    <col min="7" max="7" width="18.7265625" customWidth="1"/>
    <col min="8" max="8" width="4" customWidth="1"/>
    <col min="9" max="9" width="9.26953125" customWidth="1"/>
  </cols>
  <sheetData>
    <row r="1" spans="1:9" ht="45" customHeight="1" thickBot="1" x14ac:dyDescent="0.4">
      <c r="A1" s="566" t="s">
        <v>570</v>
      </c>
      <c r="B1" s="567"/>
      <c r="C1" s="567"/>
      <c r="D1" s="567"/>
      <c r="E1" s="567"/>
      <c r="F1" s="567"/>
      <c r="G1" s="568"/>
      <c r="H1" s="65"/>
      <c r="I1" s="65"/>
    </row>
    <row r="2" spans="1:9" ht="15" thickBot="1" x14ac:dyDescent="0.4">
      <c r="B2" s="569"/>
      <c r="C2" s="569"/>
      <c r="D2" s="569"/>
      <c r="E2" s="569"/>
      <c r="F2" s="569"/>
      <c r="G2" s="569"/>
      <c r="H2" s="569"/>
      <c r="I2" s="569"/>
    </row>
    <row r="3" spans="1:9" ht="15" thickBot="1" x14ac:dyDescent="0.4">
      <c r="A3" s="570" t="s">
        <v>0</v>
      </c>
      <c r="B3" s="571"/>
      <c r="C3" s="95" t="s">
        <v>57</v>
      </c>
      <c r="D3" s="572" t="s">
        <v>58</v>
      </c>
      <c r="E3" s="571"/>
      <c r="F3" s="95"/>
      <c r="G3" s="95"/>
      <c r="H3" s="573" t="s">
        <v>59</v>
      </c>
      <c r="I3" s="574"/>
    </row>
    <row r="4" spans="1:9" ht="15" customHeight="1" x14ac:dyDescent="0.35">
      <c r="A4" s="563" t="s">
        <v>487</v>
      </c>
      <c r="B4" s="563">
        <v>1</v>
      </c>
      <c r="C4" s="565" t="s">
        <v>643</v>
      </c>
      <c r="D4" s="6">
        <v>1</v>
      </c>
      <c r="E4" s="325" t="s">
        <v>169</v>
      </c>
      <c r="F4" s="325"/>
      <c r="G4" s="325"/>
      <c r="H4" s="538" t="s">
        <v>644</v>
      </c>
      <c r="I4" s="539"/>
    </row>
    <row r="5" spans="1:9" ht="78.75" customHeight="1" x14ac:dyDescent="0.35">
      <c r="A5" s="564"/>
      <c r="B5" s="564"/>
      <c r="C5" s="472"/>
      <c r="D5" s="7">
        <v>2</v>
      </c>
      <c r="E5" s="327" t="s">
        <v>5</v>
      </c>
      <c r="F5" s="327"/>
      <c r="G5" s="327"/>
      <c r="H5" s="540"/>
      <c r="I5" s="541"/>
    </row>
    <row r="6" spans="1:9" ht="35.25" customHeight="1" x14ac:dyDescent="0.35">
      <c r="A6" s="300" t="s">
        <v>487</v>
      </c>
      <c r="B6" s="33">
        <f>B4+1</f>
        <v>2</v>
      </c>
      <c r="C6" s="22" t="s">
        <v>171</v>
      </c>
      <c r="D6" s="544" t="s">
        <v>60</v>
      </c>
      <c r="E6" s="545"/>
      <c r="F6" s="545"/>
      <c r="G6" s="546"/>
      <c r="H6" s="542"/>
      <c r="I6" s="543"/>
    </row>
    <row r="7" spans="1:9" x14ac:dyDescent="0.35">
      <c r="A7" s="550" t="s">
        <v>487</v>
      </c>
      <c r="B7" s="550">
        <f>B6+1</f>
        <v>3</v>
      </c>
      <c r="C7" s="323" t="s">
        <v>138</v>
      </c>
      <c r="D7" s="6">
        <v>1</v>
      </c>
      <c r="E7" s="325" t="s">
        <v>139</v>
      </c>
      <c r="F7" s="325"/>
      <c r="G7" s="320"/>
      <c r="H7" s="67"/>
      <c r="I7" s="68"/>
    </row>
    <row r="8" spans="1:9" x14ac:dyDescent="0.35">
      <c r="A8" s="551"/>
      <c r="B8" s="551"/>
      <c r="C8" s="342"/>
      <c r="D8" s="10">
        <f>D7+1</f>
        <v>2</v>
      </c>
      <c r="E8" s="326" t="s">
        <v>140</v>
      </c>
      <c r="F8" s="326"/>
      <c r="G8" s="312"/>
      <c r="H8" s="69"/>
      <c r="I8" s="70"/>
    </row>
    <row r="9" spans="1:9" ht="36" customHeight="1" x14ac:dyDescent="0.35">
      <c r="A9" s="552"/>
      <c r="B9" s="552"/>
      <c r="C9" s="324"/>
      <c r="D9" s="7">
        <f>D8+1</f>
        <v>3</v>
      </c>
      <c r="E9" s="327" t="s">
        <v>141</v>
      </c>
      <c r="F9" s="327"/>
      <c r="G9" s="322"/>
      <c r="H9" s="71"/>
      <c r="I9" s="91"/>
    </row>
    <row r="10" spans="1:9" x14ac:dyDescent="0.35">
      <c r="A10" s="550" t="s">
        <v>487</v>
      </c>
      <c r="B10" s="550">
        <f>B7+1</f>
        <v>4</v>
      </c>
      <c r="C10" s="323" t="s">
        <v>142</v>
      </c>
      <c r="D10" s="6">
        <v>1</v>
      </c>
      <c r="E10" s="325" t="s">
        <v>143</v>
      </c>
      <c r="F10" s="325"/>
      <c r="G10" s="320"/>
      <c r="H10" s="67"/>
      <c r="I10" s="68"/>
    </row>
    <row r="11" spans="1:9" x14ac:dyDescent="0.35">
      <c r="A11" s="551"/>
      <c r="B11" s="551"/>
      <c r="C11" s="342"/>
      <c r="D11" s="10">
        <f>D10+1</f>
        <v>2</v>
      </c>
      <c r="E11" s="326" t="s">
        <v>144</v>
      </c>
      <c r="F11" s="326"/>
      <c r="G11" s="312"/>
      <c r="H11" s="69"/>
      <c r="I11" s="70"/>
    </row>
    <row r="12" spans="1:9" x14ac:dyDescent="0.35">
      <c r="A12" s="551"/>
      <c r="B12" s="551"/>
      <c r="C12" s="342"/>
      <c r="D12" s="10">
        <f>D11+1</f>
        <v>3</v>
      </c>
      <c r="E12" s="326" t="s">
        <v>145</v>
      </c>
      <c r="F12" s="326"/>
      <c r="G12" s="312"/>
      <c r="H12" s="69"/>
      <c r="I12" s="70"/>
    </row>
    <row r="13" spans="1:9" ht="15" thickBot="1" x14ac:dyDescent="0.4">
      <c r="A13" s="552"/>
      <c r="B13" s="552"/>
      <c r="C13" s="324"/>
      <c r="D13" s="7">
        <f>D12+1</f>
        <v>4</v>
      </c>
      <c r="E13" s="327" t="s">
        <v>146</v>
      </c>
      <c r="F13" s="327"/>
      <c r="G13" s="322"/>
      <c r="H13" s="71"/>
      <c r="I13" s="91"/>
    </row>
    <row r="14" spans="1:9" x14ac:dyDescent="0.35">
      <c r="A14" s="550" t="s">
        <v>487</v>
      </c>
      <c r="B14" s="550">
        <f>B10+1</f>
        <v>5</v>
      </c>
      <c r="C14" s="553" t="s">
        <v>147</v>
      </c>
      <c r="D14" s="6">
        <v>1</v>
      </c>
      <c r="E14" s="325" t="s">
        <v>148</v>
      </c>
      <c r="F14" s="325"/>
      <c r="G14" s="320"/>
      <c r="H14" s="67"/>
      <c r="I14" s="68"/>
    </row>
    <row r="15" spans="1:9" x14ac:dyDescent="0.35">
      <c r="A15" s="551"/>
      <c r="B15" s="551"/>
      <c r="C15" s="554"/>
      <c r="D15" s="10">
        <f>D14+1</f>
        <v>2</v>
      </c>
      <c r="E15" s="326" t="s">
        <v>149</v>
      </c>
      <c r="F15" s="326"/>
      <c r="G15" s="312"/>
      <c r="H15" s="69"/>
      <c r="I15" s="70"/>
    </row>
    <row r="16" spans="1:9" x14ac:dyDescent="0.35">
      <c r="A16" s="551"/>
      <c r="B16" s="551"/>
      <c r="C16" s="554"/>
      <c r="D16" s="10">
        <f>D15+1</f>
        <v>3</v>
      </c>
      <c r="E16" s="326" t="s">
        <v>150</v>
      </c>
      <c r="F16" s="326"/>
      <c r="G16" s="312"/>
      <c r="H16" s="69"/>
      <c r="I16" s="70"/>
    </row>
    <row r="17" spans="1:9" ht="15" thickBot="1" x14ac:dyDescent="0.4">
      <c r="A17" s="552"/>
      <c r="B17" s="552"/>
      <c r="C17" s="555"/>
      <c r="D17" s="7">
        <f>D16+1</f>
        <v>4</v>
      </c>
      <c r="E17" s="327" t="s">
        <v>151</v>
      </c>
      <c r="F17" s="327"/>
      <c r="G17" s="322"/>
      <c r="H17" s="71"/>
      <c r="I17" s="91"/>
    </row>
    <row r="18" spans="1:9" x14ac:dyDescent="0.35">
      <c r="A18" s="550" t="s">
        <v>487</v>
      </c>
      <c r="B18" s="550">
        <f>B14+1</f>
        <v>6</v>
      </c>
      <c r="C18" s="553" t="s">
        <v>152</v>
      </c>
      <c r="D18" s="6">
        <v>1</v>
      </c>
      <c r="E18" s="325" t="s">
        <v>153</v>
      </c>
      <c r="F18" s="325"/>
      <c r="G18" s="320"/>
      <c r="H18" s="67"/>
      <c r="I18" s="68"/>
    </row>
    <row r="19" spans="1:9" x14ac:dyDescent="0.35">
      <c r="A19" s="551"/>
      <c r="B19" s="551"/>
      <c r="C19" s="342"/>
      <c r="D19" s="10">
        <f>D18+1</f>
        <v>2</v>
      </c>
      <c r="E19" s="326" t="s">
        <v>154</v>
      </c>
      <c r="F19" s="326"/>
      <c r="G19" s="312"/>
      <c r="H19" s="69"/>
      <c r="I19" s="70"/>
    </row>
    <row r="20" spans="1:9" x14ac:dyDescent="0.35">
      <c r="A20" s="551"/>
      <c r="B20" s="551"/>
      <c r="C20" s="342"/>
      <c r="D20" s="10">
        <f>D19+1</f>
        <v>3</v>
      </c>
      <c r="E20" s="326" t="s">
        <v>155</v>
      </c>
      <c r="F20" s="326"/>
      <c r="G20" s="312"/>
      <c r="H20" s="69"/>
      <c r="I20" s="70"/>
    </row>
    <row r="21" spans="1:9" x14ac:dyDescent="0.35">
      <c r="A21" s="551"/>
      <c r="B21" s="551"/>
      <c r="C21" s="342"/>
      <c r="D21" s="10">
        <f>D20+1</f>
        <v>4</v>
      </c>
      <c r="E21" s="326" t="s">
        <v>156</v>
      </c>
      <c r="F21" s="326"/>
      <c r="G21" s="312"/>
      <c r="H21" s="69"/>
      <c r="I21" s="70"/>
    </row>
    <row r="22" spans="1:9" x14ac:dyDescent="0.35">
      <c r="A22" s="552"/>
      <c r="B22" s="552"/>
      <c r="C22" s="324"/>
      <c r="D22" s="7">
        <f>D21+1</f>
        <v>5</v>
      </c>
      <c r="E22" s="327" t="s">
        <v>157</v>
      </c>
      <c r="F22" s="327"/>
      <c r="G22" s="322"/>
      <c r="H22" s="71"/>
      <c r="I22" s="91"/>
    </row>
    <row r="23" spans="1:9" x14ac:dyDescent="0.35">
      <c r="A23" s="551" t="s">
        <v>487</v>
      </c>
      <c r="B23" s="559">
        <f>B18+1</f>
        <v>7</v>
      </c>
      <c r="C23" s="561" t="s">
        <v>158</v>
      </c>
      <c r="D23" s="72">
        <v>1</v>
      </c>
      <c r="E23" s="326" t="s">
        <v>5</v>
      </c>
      <c r="F23" s="326"/>
      <c r="G23" s="312"/>
      <c r="H23" s="73" t="s">
        <v>159</v>
      </c>
      <c r="I23" s="74">
        <f>B30</f>
        <v>9</v>
      </c>
    </row>
    <row r="24" spans="1:9" x14ac:dyDescent="0.35">
      <c r="A24" s="551"/>
      <c r="B24" s="559"/>
      <c r="C24" s="561"/>
      <c r="D24" s="72">
        <v>2</v>
      </c>
      <c r="E24" s="326" t="s">
        <v>160</v>
      </c>
      <c r="F24" s="326"/>
      <c r="G24" s="312"/>
      <c r="H24" s="75"/>
      <c r="I24" s="309"/>
    </row>
    <row r="25" spans="1:9" x14ac:dyDescent="0.35">
      <c r="A25" s="551"/>
      <c r="B25" s="559"/>
      <c r="C25" s="561"/>
      <c r="D25" s="72">
        <v>3</v>
      </c>
      <c r="E25" s="326" t="s">
        <v>161</v>
      </c>
      <c r="F25" s="326"/>
      <c r="G25" s="243"/>
      <c r="H25" s="75"/>
      <c r="I25" s="309"/>
    </row>
    <row r="26" spans="1:9" x14ac:dyDescent="0.35">
      <c r="A26" s="551"/>
      <c r="B26" s="559"/>
      <c r="C26" s="561"/>
      <c r="D26" s="72">
        <v>4</v>
      </c>
      <c r="E26" s="190" t="s">
        <v>162</v>
      </c>
      <c r="F26" s="190"/>
      <c r="G26" s="243"/>
      <c r="H26" s="75"/>
      <c r="I26" s="309"/>
    </row>
    <row r="27" spans="1:9" x14ac:dyDescent="0.35">
      <c r="A27" s="551"/>
      <c r="B27" s="559"/>
      <c r="C27" s="561"/>
      <c r="D27" s="72">
        <v>5</v>
      </c>
      <c r="E27" s="326" t="s">
        <v>163</v>
      </c>
      <c r="F27" s="326"/>
      <c r="G27" s="243"/>
      <c r="H27" s="75"/>
      <c r="I27" s="309"/>
    </row>
    <row r="28" spans="1:9" x14ac:dyDescent="0.35">
      <c r="A28" s="552"/>
      <c r="B28" s="560"/>
      <c r="C28" s="562"/>
      <c r="D28" s="76">
        <v>-66</v>
      </c>
      <c r="E28" s="414" t="s">
        <v>164</v>
      </c>
      <c r="F28" s="414"/>
      <c r="G28" s="415"/>
      <c r="H28" s="73"/>
      <c r="I28" s="74"/>
    </row>
    <row r="29" spans="1:9" ht="62.25" customHeight="1" x14ac:dyDescent="0.35">
      <c r="A29" s="164" t="s">
        <v>487</v>
      </c>
      <c r="B29" s="66">
        <f>B23+1</f>
        <v>8</v>
      </c>
      <c r="C29" s="14" t="s">
        <v>165</v>
      </c>
      <c r="D29" s="547"/>
      <c r="E29" s="548"/>
      <c r="F29" s="548"/>
      <c r="G29" s="549"/>
      <c r="H29" s="310"/>
      <c r="I29" s="310"/>
    </row>
    <row r="30" spans="1:9" ht="53.25" customHeight="1" x14ac:dyDescent="0.35">
      <c r="A30" s="165" t="s">
        <v>487</v>
      </c>
      <c r="B30" s="66">
        <f>B29+1</f>
        <v>9</v>
      </c>
      <c r="C30" s="14" t="s">
        <v>166</v>
      </c>
      <c r="D30" s="547"/>
      <c r="E30" s="548"/>
      <c r="F30" s="548"/>
      <c r="G30" s="549"/>
      <c r="H30" s="310"/>
      <c r="I30" s="310"/>
    </row>
    <row r="31" spans="1:9" x14ac:dyDescent="0.35">
      <c r="A31" s="66" t="s">
        <v>487</v>
      </c>
      <c r="B31" s="66">
        <f>B30+1</f>
        <v>10</v>
      </c>
      <c r="C31" s="14" t="s">
        <v>167</v>
      </c>
      <c r="D31" s="556" t="s">
        <v>168</v>
      </c>
      <c r="E31" s="557"/>
      <c r="F31" s="557"/>
      <c r="G31" s="558"/>
      <c r="H31" s="310"/>
      <c r="I31" s="310"/>
    </row>
  </sheetData>
  <mergeCells count="51">
    <mergeCell ref="A1:G1"/>
    <mergeCell ref="B2:I2"/>
    <mergeCell ref="A3:B3"/>
    <mergeCell ref="D3:E3"/>
    <mergeCell ref="H3:I3"/>
    <mergeCell ref="A4:A5"/>
    <mergeCell ref="B4:B5"/>
    <mergeCell ref="C4:C5"/>
    <mergeCell ref="E4:G4"/>
    <mergeCell ref="E5:G5"/>
    <mergeCell ref="A7:A9"/>
    <mergeCell ref="B7:B9"/>
    <mergeCell ref="C7:C9"/>
    <mergeCell ref="E7:G7"/>
    <mergeCell ref="E8:G8"/>
    <mergeCell ref="E9:G9"/>
    <mergeCell ref="D31:G31"/>
    <mergeCell ref="A23:A28"/>
    <mergeCell ref="B23:B28"/>
    <mergeCell ref="C23:C28"/>
    <mergeCell ref="E23:G23"/>
    <mergeCell ref="E24:G24"/>
    <mergeCell ref="E28:G28"/>
    <mergeCell ref="D30:G30"/>
    <mergeCell ref="E25:F25"/>
    <mergeCell ref="E27:F27"/>
    <mergeCell ref="E16:G16"/>
    <mergeCell ref="E17:G17"/>
    <mergeCell ref="A10:A13"/>
    <mergeCell ref="B10:B13"/>
    <mergeCell ref="C10:C13"/>
    <mergeCell ref="E10:G10"/>
    <mergeCell ref="E11:G11"/>
    <mergeCell ref="E12:G12"/>
    <mergeCell ref="E13:G13"/>
    <mergeCell ref="H4:I6"/>
    <mergeCell ref="D6:G6"/>
    <mergeCell ref="D29:G29"/>
    <mergeCell ref="A18:A22"/>
    <mergeCell ref="B18:B22"/>
    <mergeCell ref="C18:C22"/>
    <mergeCell ref="E18:G18"/>
    <mergeCell ref="E19:G19"/>
    <mergeCell ref="E20:G20"/>
    <mergeCell ref="E21:G21"/>
    <mergeCell ref="E22:G22"/>
    <mergeCell ref="A14:A17"/>
    <mergeCell ref="B14:B17"/>
    <mergeCell ref="C14:C17"/>
    <mergeCell ref="E14:G14"/>
    <mergeCell ref="E15:G15"/>
  </mergeCells>
  <pageMargins left="0.7" right="0.7" top="0.75" bottom="0.75" header="0.3" footer="0.3"/>
  <pageSetup orientation="portrait" r:id="rId1"/>
  <headerFooter>
    <oddHeader xml:space="preserve">&amp;CN. END OF SURVEY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 Introduction</vt:lpstr>
      <vt:lpstr>B. Basic Info</vt:lpstr>
      <vt:lpstr>C. Food Expenditure</vt:lpstr>
      <vt:lpstr>D. Non-food Expenditure.</vt:lpstr>
      <vt:lpstr>G. Income</vt:lpstr>
      <vt:lpstr>E. Business expenditure</vt:lpstr>
      <vt:lpstr>H. Time use</vt:lpstr>
      <vt:lpstr>I-K. Savings &amp; Transfers</vt:lpstr>
      <vt:lpstr>I-L. Borrowing.</vt:lpstr>
      <vt:lpstr>M. Lending.</vt:lpstr>
      <vt:lpstr>J. Food Security</vt:lpstr>
      <vt:lpstr>O.Kesslers Scale </vt:lpstr>
      <vt:lpstr>N. Wrap-up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IPAadmin</dc:creator>
  <cp:lastModifiedBy>Pamela Jakiela</cp:lastModifiedBy>
  <cp:lastPrinted>2013-12-19T09:03:28Z</cp:lastPrinted>
  <dcterms:created xsi:type="dcterms:W3CDTF">2013-08-02T07:23:48Z</dcterms:created>
  <dcterms:modified xsi:type="dcterms:W3CDTF">2026-01-30T15:22:12Z</dcterms:modified>
</cp:coreProperties>
</file>